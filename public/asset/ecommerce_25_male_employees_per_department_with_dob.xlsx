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F:\system\public\asset\"/>
    </mc:Choice>
  </mc:AlternateContent>
  <xr:revisionPtr revIDLastSave="0" documentId="13_ncr:1_{8D673D43-2CF4-48A7-922D-D69F1EDB3B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s" sheetId="1" r:id="rId1"/>
    <sheet name="Departments" sheetId="2" r:id="rId2"/>
    <sheet name="Summary" sheetId="3" r:id="rId3"/>
    <sheet name="Laravel Import Notes" sheetId="4" r:id="rId4"/>
    <sheet name="Organizations" sheetId="5" r:id="rId5"/>
    <sheet name="Education Summar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9" i="6" l="1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4" i="6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9" i="3"/>
  <c r="B9" i="3"/>
  <c r="C8" i="3"/>
  <c r="B8" i="3"/>
  <c r="C7" i="3"/>
  <c r="B7" i="3"/>
  <c r="C6" i="3"/>
  <c r="B6" i="3"/>
  <c r="C5" i="3"/>
  <c r="B5" i="3"/>
  <c r="G19" i="2"/>
  <c r="H19" i="2" s="1"/>
  <c r="F19" i="2"/>
  <c r="E19" i="2"/>
  <c r="D19" i="2"/>
  <c r="G18" i="2"/>
  <c r="F18" i="2"/>
  <c r="E18" i="2"/>
  <c r="D18" i="2"/>
  <c r="H18" i="2" s="1"/>
  <c r="H17" i="2"/>
  <c r="G17" i="2"/>
  <c r="F17" i="2"/>
  <c r="E17" i="2"/>
  <c r="D17" i="2"/>
  <c r="H16" i="2"/>
  <c r="G16" i="2"/>
  <c r="F16" i="2"/>
  <c r="E16" i="2"/>
  <c r="D16" i="2"/>
  <c r="H15" i="2"/>
  <c r="G15" i="2"/>
  <c r="F15" i="2"/>
  <c r="E15" i="2"/>
  <c r="D15" i="2"/>
  <c r="H14" i="2"/>
  <c r="G14" i="2"/>
  <c r="F14" i="2"/>
  <c r="E14" i="2"/>
  <c r="D14" i="2"/>
  <c r="G13" i="2"/>
  <c r="H13" i="2" s="1"/>
  <c r="F13" i="2"/>
  <c r="E13" i="2"/>
  <c r="D13" i="2"/>
  <c r="H12" i="2"/>
  <c r="G12" i="2"/>
  <c r="F12" i="2"/>
  <c r="E12" i="2"/>
  <c r="D12" i="2"/>
  <c r="G11" i="2"/>
  <c r="H11" i="2" s="1"/>
  <c r="F11" i="2"/>
  <c r="E11" i="2"/>
  <c r="D11" i="2"/>
  <c r="G10" i="2"/>
  <c r="H10" i="2" s="1"/>
  <c r="F10" i="2"/>
  <c r="E10" i="2"/>
  <c r="D10" i="2"/>
  <c r="H9" i="2"/>
  <c r="G9" i="2"/>
  <c r="F9" i="2"/>
  <c r="E9" i="2"/>
  <c r="D9" i="2"/>
  <c r="G8" i="2"/>
  <c r="H8" i="2" s="1"/>
  <c r="F8" i="2"/>
  <c r="E8" i="2"/>
  <c r="D8" i="2"/>
  <c r="G7" i="2"/>
  <c r="H7" i="2" s="1"/>
  <c r="F7" i="2"/>
  <c r="E7" i="2"/>
  <c r="D7" i="2"/>
  <c r="G6" i="2"/>
  <c r="F6" i="2"/>
  <c r="E6" i="2"/>
  <c r="D6" i="2"/>
  <c r="H6" i="2" s="1"/>
  <c r="G5" i="2"/>
  <c r="H5" i="2" s="1"/>
  <c r="F5" i="2"/>
  <c r="E5" i="2"/>
  <c r="D5" i="2"/>
  <c r="H4" i="2"/>
  <c r="G4" i="2"/>
  <c r="F4" i="2"/>
  <c r="E4" i="2"/>
  <c r="D4" i="2"/>
  <c r="G3" i="2"/>
  <c r="F3" i="2"/>
  <c r="E3" i="2"/>
  <c r="D3" i="2"/>
  <c r="H3" i="2" s="1"/>
  <c r="G2" i="2"/>
  <c r="H2" i="2" s="1"/>
  <c r="F2" i="2"/>
  <c r="E2" i="2"/>
  <c r="D2" i="2"/>
  <c r="P451" i="1"/>
  <c r="O451" i="1"/>
  <c r="P450" i="1"/>
  <c r="O450" i="1"/>
  <c r="P449" i="1"/>
  <c r="O449" i="1"/>
  <c r="P448" i="1"/>
  <c r="O448" i="1"/>
  <c r="P447" i="1"/>
  <c r="O447" i="1"/>
  <c r="P446" i="1"/>
  <c r="O446" i="1"/>
  <c r="P445" i="1"/>
  <c r="O445" i="1"/>
  <c r="P444" i="1"/>
  <c r="O444" i="1"/>
  <c r="P443" i="1"/>
  <c r="O443" i="1"/>
  <c r="P442" i="1"/>
  <c r="O442" i="1"/>
  <c r="P441" i="1"/>
  <c r="O441" i="1"/>
  <c r="P440" i="1"/>
  <c r="O440" i="1"/>
  <c r="P439" i="1"/>
  <c r="O439" i="1"/>
  <c r="P438" i="1"/>
  <c r="O438" i="1"/>
  <c r="P437" i="1"/>
  <c r="O437" i="1"/>
  <c r="P436" i="1"/>
  <c r="O436" i="1"/>
  <c r="P435" i="1"/>
  <c r="O435" i="1"/>
  <c r="P434" i="1"/>
  <c r="O434" i="1"/>
  <c r="P433" i="1"/>
  <c r="O433" i="1"/>
  <c r="P432" i="1"/>
  <c r="O432" i="1"/>
  <c r="P431" i="1"/>
  <c r="O431" i="1"/>
  <c r="P430" i="1"/>
  <c r="O430" i="1"/>
  <c r="P429" i="1"/>
  <c r="O429" i="1"/>
  <c r="P428" i="1"/>
  <c r="O428" i="1"/>
  <c r="P427" i="1"/>
  <c r="O427" i="1"/>
  <c r="P426" i="1"/>
  <c r="O426" i="1"/>
  <c r="P425" i="1"/>
  <c r="O425" i="1"/>
  <c r="P424" i="1"/>
  <c r="O424" i="1"/>
  <c r="P423" i="1"/>
  <c r="O423" i="1"/>
  <c r="P422" i="1"/>
  <c r="O422" i="1"/>
  <c r="P421" i="1"/>
  <c r="O421" i="1"/>
  <c r="P420" i="1"/>
  <c r="O420" i="1"/>
  <c r="P419" i="1"/>
  <c r="O419" i="1"/>
  <c r="P418" i="1"/>
  <c r="O418" i="1"/>
  <c r="P417" i="1"/>
  <c r="O417" i="1"/>
  <c r="P416" i="1"/>
  <c r="O416" i="1"/>
  <c r="P415" i="1"/>
  <c r="O415" i="1"/>
  <c r="P414" i="1"/>
  <c r="O414" i="1"/>
  <c r="P413" i="1"/>
  <c r="O413" i="1"/>
  <c r="P412" i="1"/>
  <c r="O412" i="1"/>
  <c r="P411" i="1"/>
  <c r="O411" i="1"/>
  <c r="P410" i="1"/>
  <c r="O410" i="1"/>
  <c r="P409" i="1"/>
  <c r="O409" i="1"/>
  <c r="P408" i="1"/>
  <c r="O408" i="1"/>
  <c r="P407" i="1"/>
  <c r="O407" i="1"/>
  <c r="P406" i="1"/>
  <c r="O406" i="1"/>
  <c r="P405" i="1"/>
  <c r="O405" i="1"/>
  <c r="P404" i="1"/>
  <c r="O404" i="1"/>
  <c r="P403" i="1"/>
  <c r="O403" i="1"/>
  <c r="P402" i="1"/>
  <c r="O402" i="1"/>
  <c r="P401" i="1"/>
  <c r="O401" i="1"/>
  <c r="P400" i="1"/>
  <c r="O400" i="1"/>
  <c r="P399" i="1"/>
  <c r="O399" i="1"/>
  <c r="P398" i="1"/>
  <c r="O398" i="1"/>
  <c r="P397" i="1"/>
  <c r="O397" i="1"/>
  <c r="P396" i="1"/>
  <c r="O396" i="1"/>
  <c r="P395" i="1"/>
  <c r="O395" i="1"/>
  <c r="P394" i="1"/>
  <c r="O394" i="1"/>
  <c r="P393" i="1"/>
  <c r="O393" i="1"/>
  <c r="P392" i="1"/>
  <c r="O392" i="1"/>
  <c r="P391" i="1"/>
  <c r="O391" i="1"/>
  <c r="P390" i="1"/>
  <c r="O390" i="1"/>
  <c r="P389" i="1"/>
  <c r="O389" i="1"/>
  <c r="P388" i="1"/>
  <c r="O388" i="1"/>
  <c r="P387" i="1"/>
  <c r="O387" i="1"/>
  <c r="P386" i="1"/>
  <c r="O386" i="1"/>
  <c r="P385" i="1"/>
  <c r="O385" i="1"/>
  <c r="P384" i="1"/>
  <c r="O384" i="1"/>
  <c r="P383" i="1"/>
  <c r="O383" i="1"/>
  <c r="P382" i="1"/>
  <c r="O382" i="1"/>
  <c r="P381" i="1"/>
  <c r="O381" i="1"/>
  <c r="P380" i="1"/>
  <c r="O380" i="1"/>
  <c r="P379" i="1"/>
  <c r="O379" i="1"/>
  <c r="P378" i="1"/>
  <c r="O378" i="1"/>
  <c r="P377" i="1"/>
  <c r="O377" i="1"/>
  <c r="P376" i="1"/>
  <c r="O376" i="1"/>
  <c r="P375" i="1"/>
  <c r="O375" i="1"/>
  <c r="P374" i="1"/>
  <c r="O374" i="1"/>
  <c r="P373" i="1"/>
  <c r="O373" i="1"/>
  <c r="P372" i="1"/>
  <c r="O372" i="1"/>
  <c r="P371" i="1"/>
  <c r="O371" i="1"/>
  <c r="P370" i="1"/>
  <c r="O370" i="1"/>
  <c r="P369" i="1"/>
  <c r="O369" i="1"/>
  <c r="P368" i="1"/>
  <c r="O368" i="1"/>
  <c r="P367" i="1"/>
  <c r="O367" i="1"/>
  <c r="P366" i="1"/>
  <c r="O366" i="1"/>
  <c r="P365" i="1"/>
  <c r="O365" i="1"/>
  <c r="P364" i="1"/>
  <c r="O364" i="1"/>
  <c r="P363" i="1"/>
  <c r="O363" i="1"/>
  <c r="P362" i="1"/>
  <c r="O362" i="1"/>
  <c r="P361" i="1"/>
  <c r="O361" i="1"/>
  <c r="P360" i="1"/>
  <c r="O360" i="1"/>
  <c r="P359" i="1"/>
  <c r="O359" i="1"/>
  <c r="P358" i="1"/>
  <c r="O358" i="1"/>
  <c r="P357" i="1"/>
  <c r="O357" i="1"/>
  <c r="P356" i="1"/>
  <c r="O356" i="1"/>
  <c r="P355" i="1"/>
  <c r="O355" i="1"/>
  <c r="P354" i="1"/>
  <c r="O354" i="1"/>
  <c r="P353" i="1"/>
  <c r="O353" i="1"/>
  <c r="P352" i="1"/>
  <c r="O352" i="1"/>
  <c r="P351" i="1"/>
  <c r="O351" i="1"/>
  <c r="P350" i="1"/>
  <c r="O350" i="1"/>
  <c r="P349" i="1"/>
  <c r="O349" i="1"/>
  <c r="P348" i="1"/>
  <c r="O348" i="1"/>
  <c r="P347" i="1"/>
  <c r="O347" i="1"/>
  <c r="P346" i="1"/>
  <c r="O346" i="1"/>
  <c r="P345" i="1"/>
  <c r="O345" i="1"/>
  <c r="P344" i="1"/>
  <c r="O344" i="1"/>
  <c r="P343" i="1"/>
  <c r="O343" i="1"/>
  <c r="P342" i="1"/>
  <c r="O342" i="1"/>
  <c r="P341" i="1"/>
  <c r="O341" i="1"/>
  <c r="P340" i="1"/>
  <c r="O340" i="1"/>
  <c r="P339" i="1"/>
  <c r="O339" i="1"/>
  <c r="P338" i="1"/>
  <c r="O338" i="1"/>
  <c r="P337" i="1"/>
  <c r="O337" i="1"/>
  <c r="P336" i="1"/>
  <c r="O336" i="1"/>
  <c r="P335" i="1"/>
  <c r="O335" i="1"/>
  <c r="P334" i="1"/>
  <c r="O334" i="1"/>
  <c r="P333" i="1"/>
  <c r="O333" i="1"/>
  <c r="P332" i="1"/>
  <c r="O332" i="1"/>
  <c r="P331" i="1"/>
  <c r="O331" i="1"/>
  <c r="P330" i="1"/>
  <c r="O330" i="1"/>
  <c r="P329" i="1"/>
  <c r="O329" i="1"/>
  <c r="P328" i="1"/>
  <c r="O328" i="1"/>
  <c r="P327" i="1"/>
  <c r="O327" i="1"/>
  <c r="P326" i="1"/>
  <c r="O326" i="1"/>
  <c r="P325" i="1"/>
  <c r="O325" i="1"/>
  <c r="P324" i="1"/>
  <c r="O324" i="1"/>
  <c r="P323" i="1"/>
  <c r="O323" i="1"/>
  <c r="P322" i="1"/>
  <c r="O322" i="1"/>
  <c r="P321" i="1"/>
  <c r="O321" i="1"/>
  <c r="P320" i="1"/>
  <c r="O320" i="1"/>
  <c r="P319" i="1"/>
  <c r="O319" i="1"/>
  <c r="P318" i="1"/>
  <c r="O318" i="1"/>
  <c r="P317" i="1"/>
  <c r="O317" i="1"/>
  <c r="P316" i="1"/>
  <c r="O316" i="1"/>
  <c r="P315" i="1"/>
  <c r="O315" i="1"/>
  <c r="P314" i="1"/>
  <c r="O314" i="1"/>
  <c r="P313" i="1"/>
  <c r="O313" i="1"/>
  <c r="P312" i="1"/>
  <c r="O312" i="1"/>
  <c r="P311" i="1"/>
  <c r="O311" i="1"/>
  <c r="P310" i="1"/>
  <c r="O310" i="1"/>
  <c r="P309" i="1"/>
  <c r="O309" i="1"/>
  <c r="P308" i="1"/>
  <c r="O308" i="1"/>
  <c r="P307" i="1"/>
  <c r="O307" i="1"/>
  <c r="P306" i="1"/>
  <c r="O306" i="1"/>
  <c r="P305" i="1"/>
  <c r="O305" i="1"/>
  <c r="P304" i="1"/>
  <c r="O304" i="1"/>
  <c r="P303" i="1"/>
  <c r="O303" i="1"/>
  <c r="P302" i="1"/>
  <c r="O302" i="1"/>
  <c r="P301" i="1"/>
  <c r="O301" i="1"/>
  <c r="P300" i="1"/>
  <c r="O300" i="1"/>
  <c r="P299" i="1"/>
  <c r="O299" i="1"/>
  <c r="P298" i="1"/>
  <c r="O298" i="1"/>
  <c r="P297" i="1"/>
  <c r="O297" i="1"/>
  <c r="P296" i="1"/>
  <c r="O296" i="1"/>
  <c r="P295" i="1"/>
  <c r="O295" i="1"/>
  <c r="P294" i="1"/>
  <c r="O294" i="1"/>
  <c r="P293" i="1"/>
  <c r="O293" i="1"/>
  <c r="P292" i="1"/>
  <c r="O292" i="1"/>
  <c r="P291" i="1"/>
  <c r="O291" i="1"/>
  <c r="P290" i="1"/>
  <c r="O290" i="1"/>
  <c r="P289" i="1"/>
  <c r="O289" i="1"/>
  <c r="P288" i="1"/>
  <c r="O288" i="1"/>
  <c r="P287" i="1"/>
  <c r="O287" i="1"/>
  <c r="P286" i="1"/>
  <c r="O286" i="1"/>
  <c r="P285" i="1"/>
  <c r="O285" i="1"/>
  <c r="P284" i="1"/>
  <c r="O284" i="1"/>
  <c r="P283" i="1"/>
  <c r="O283" i="1"/>
  <c r="P282" i="1"/>
  <c r="O282" i="1"/>
  <c r="P281" i="1"/>
  <c r="O281" i="1"/>
  <c r="P280" i="1"/>
  <c r="O280" i="1"/>
  <c r="P279" i="1"/>
  <c r="O279" i="1"/>
  <c r="P278" i="1"/>
  <c r="O278" i="1"/>
  <c r="P277" i="1"/>
  <c r="O277" i="1"/>
  <c r="P276" i="1"/>
  <c r="O276" i="1"/>
  <c r="P275" i="1"/>
  <c r="O275" i="1"/>
  <c r="P274" i="1"/>
  <c r="O274" i="1"/>
  <c r="P273" i="1"/>
  <c r="O273" i="1"/>
  <c r="P272" i="1"/>
  <c r="O272" i="1"/>
  <c r="P271" i="1"/>
  <c r="O271" i="1"/>
  <c r="P270" i="1"/>
  <c r="O270" i="1"/>
  <c r="P269" i="1"/>
  <c r="O269" i="1"/>
  <c r="P268" i="1"/>
  <c r="O268" i="1"/>
  <c r="P267" i="1"/>
  <c r="O267" i="1"/>
  <c r="P266" i="1"/>
  <c r="O266" i="1"/>
  <c r="P265" i="1"/>
  <c r="O265" i="1"/>
  <c r="P264" i="1"/>
  <c r="O264" i="1"/>
  <c r="P263" i="1"/>
  <c r="O263" i="1"/>
  <c r="P262" i="1"/>
  <c r="O262" i="1"/>
  <c r="P261" i="1"/>
  <c r="O261" i="1"/>
  <c r="P260" i="1"/>
  <c r="O260" i="1"/>
  <c r="P259" i="1"/>
  <c r="O259" i="1"/>
  <c r="P258" i="1"/>
  <c r="O258" i="1"/>
  <c r="P257" i="1"/>
  <c r="O257" i="1"/>
  <c r="P256" i="1"/>
  <c r="O256" i="1"/>
  <c r="P255" i="1"/>
  <c r="O255" i="1"/>
  <c r="P254" i="1"/>
  <c r="O254" i="1"/>
  <c r="P253" i="1"/>
  <c r="O253" i="1"/>
  <c r="P252" i="1"/>
  <c r="O252" i="1"/>
  <c r="P251" i="1"/>
  <c r="O251" i="1"/>
  <c r="P250" i="1"/>
  <c r="O250" i="1"/>
  <c r="P249" i="1"/>
  <c r="O249" i="1"/>
  <c r="P248" i="1"/>
  <c r="O248" i="1"/>
  <c r="P247" i="1"/>
  <c r="O247" i="1"/>
  <c r="P246" i="1"/>
  <c r="O246" i="1"/>
  <c r="P245" i="1"/>
  <c r="O245" i="1"/>
  <c r="P244" i="1"/>
  <c r="O244" i="1"/>
  <c r="P243" i="1"/>
  <c r="O243" i="1"/>
  <c r="P242" i="1"/>
  <c r="O242" i="1"/>
  <c r="P241" i="1"/>
  <c r="O241" i="1"/>
  <c r="P240" i="1"/>
  <c r="O240" i="1"/>
  <c r="P239" i="1"/>
  <c r="O239" i="1"/>
  <c r="P238" i="1"/>
  <c r="O238" i="1"/>
  <c r="P237" i="1"/>
  <c r="O237" i="1"/>
  <c r="P236" i="1"/>
  <c r="O236" i="1"/>
  <c r="P235" i="1"/>
  <c r="O235" i="1"/>
  <c r="P234" i="1"/>
  <c r="O234" i="1"/>
  <c r="P233" i="1"/>
  <c r="O233" i="1"/>
  <c r="P232" i="1"/>
  <c r="O232" i="1"/>
  <c r="P231" i="1"/>
  <c r="O231" i="1"/>
  <c r="P230" i="1"/>
  <c r="O230" i="1"/>
  <c r="P229" i="1"/>
  <c r="O229" i="1"/>
  <c r="P228" i="1"/>
  <c r="O228" i="1"/>
  <c r="P227" i="1"/>
  <c r="O227" i="1"/>
  <c r="P226" i="1"/>
  <c r="O226" i="1"/>
  <c r="P225" i="1"/>
  <c r="O225" i="1"/>
  <c r="P224" i="1"/>
  <c r="O224" i="1"/>
  <c r="P223" i="1"/>
  <c r="O223" i="1"/>
  <c r="P222" i="1"/>
  <c r="O222" i="1"/>
  <c r="P221" i="1"/>
  <c r="O221" i="1"/>
  <c r="P220" i="1"/>
  <c r="O220" i="1"/>
  <c r="P219" i="1"/>
  <c r="O219" i="1"/>
  <c r="P218" i="1"/>
  <c r="O218" i="1"/>
  <c r="P217" i="1"/>
  <c r="O217" i="1"/>
  <c r="P216" i="1"/>
  <c r="O216" i="1"/>
  <c r="P215" i="1"/>
  <c r="O215" i="1"/>
  <c r="P214" i="1"/>
  <c r="O214" i="1"/>
  <c r="P213" i="1"/>
  <c r="O213" i="1"/>
  <c r="P212" i="1"/>
  <c r="O212" i="1"/>
  <c r="P211" i="1"/>
  <c r="O211" i="1"/>
  <c r="P210" i="1"/>
  <c r="O210" i="1"/>
  <c r="P209" i="1"/>
  <c r="O209" i="1"/>
  <c r="P208" i="1"/>
  <c r="O208" i="1"/>
  <c r="P207" i="1"/>
  <c r="O207" i="1"/>
  <c r="P206" i="1"/>
  <c r="O206" i="1"/>
  <c r="P205" i="1"/>
  <c r="O205" i="1"/>
  <c r="P204" i="1"/>
  <c r="O204" i="1"/>
  <c r="P203" i="1"/>
  <c r="O203" i="1"/>
  <c r="P202" i="1"/>
  <c r="O202" i="1"/>
  <c r="P201" i="1"/>
  <c r="O201" i="1"/>
  <c r="P200" i="1"/>
  <c r="O200" i="1"/>
  <c r="P199" i="1"/>
  <c r="O199" i="1"/>
  <c r="P198" i="1"/>
  <c r="O198" i="1"/>
  <c r="P197" i="1"/>
  <c r="O197" i="1"/>
  <c r="P196" i="1"/>
  <c r="O196" i="1"/>
  <c r="P195" i="1"/>
  <c r="O195" i="1"/>
  <c r="P194" i="1"/>
  <c r="O194" i="1"/>
  <c r="P193" i="1"/>
  <c r="O193" i="1"/>
  <c r="P192" i="1"/>
  <c r="O192" i="1"/>
  <c r="P191" i="1"/>
  <c r="O191" i="1"/>
  <c r="P190" i="1"/>
  <c r="O190" i="1"/>
  <c r="P189" i="1"/>
  <c r="O189" i="1"/>
  <c r="P188" i="1"/>
  <c r="O188" i="1"/>
  <c r="P187" i="1"/>
  <c r="O187" i="1"/>
  <c r="P186" i="1"/>
  <c r="O186" i="1"/>
  <c r="P185" i="1"/>
  <c r="O185" i="1"/>
  <c r="P184" i="1"/>
  <c r="O184" i="1"/>
  <c r="P183" i="1"/>
  <c r="O183" i="1"/>
  <c r="P182" i="1"/>
  <c r="O182" i="1"/>
  <c r="P181" i="1"/>
  <c r="O181" i="1"/>
  <c r="P180" i="1"/>
  <c r="O180" i="1"/>
  <c r="P179" i="1"/>
  <c r="O179" i="1"/>
  <c r="P178" i="1"/>
  <c r="O178" i="1"/>
  <c r="P177" i="1"/>
  <c r="O177" i="1"/>
  <c r="P176" i="1"/>
  <c r="O176" i="1"/>
  <c r="P175" i="1"/>
  <c r="O175" i="1"/>
  <c r="P174" i="1"/>
  <c r="O174" i="1"/>
  <c r="P173" i="1"/>
  <c r="O173" i="1"/>
  <c r="P172" i="1"/>
  <c r="O172" i="1"/>
  <c r="P171" i="1"/>
  <c r="O171" i="1"/>
  <c r="P170" i="1"/>
  <c r="O170" i="1"/>
  <c r="P169" i="1"/>
  <c r="O169" i="1"/>
  <c r="P168" i="1"/>
  <c r="O168" i="1"/>
  <c r="P167" i="1"/>
  <c r="O167" i="1"/>
  <c r="P166" i="1"/>
  <c r="O166" i="1"/>
  <c r="P165" i="1"/>
  <c r="O165" i="1"/>
  <c r="P164" i="1"/>
  <c r="O164" i="1"/>
  <c r="P163" i="1"/>
  <c r="O163" i="1"/>
  <c r="P162" i="1"/>
  <c r="O162" i="1"/>
  <c r="P161" i="1"/>
  <c r="O161" i="1"/>
  <c r="P160" i="1"/>
  <c r="O160" i="1"/>
  <c r="P159" i="1"/>
  <c r="O159" i="1"/>
  <c r="P158" i="1"/>
  <c r="O158" i="1"/>
  <c r="P157" i="1"/>
  <c r="O157" i="1"/>
  <c r="P156" i="1"/>
  <c r="O156" i="1"/>
  <c r="P155" i="1"/>
  <c r="O155" i="1"/>
  <c r="P154" i="1"/>
  <c r="O154" i="1"/>
  <c r="P153" i="1"/>
  <c r="O153" i="1"/>
  <c r="P152" i="1"/>
  <c r="O152" i="1"/>
  <c r="P151" i="1"/>
  <c r="O151" i="1"/>
  <c r="P150" i="1"/>
  <c r="O150" i="1"/>
  <c r="P149" i="1"/>
  <c r="O149" i="1"/>
  <c r="P148" i="1"/>
  <c r="O148" i="1"/>
  <c r="P147" i="1"/>
  <c r="O147" i="1"/>
  <c r="P146" i="1"/>
  <c r="O146" i="1"/>
  <c r="P145" i="1"/>
  <c r="O145" i="1"/>
  <c r="P144" i="1"/>
  <c r="O144" i="1"/>
  <c r="P143" i="1"/>
  <c r="O143" i="1"/>
  <c r="P142" i="1"/>
  <c r="O142" i="1"/>
  <c r="P141" i="1"/>
  <c r="O141" i="1"/>
  <c r="P140" i="1"/>
  <c r="O140" i="1"/>
  <c r="P139" i="1"/>
  <c r="O139" i="1"/>
  <c r="P138" i="1"/>
  <c r="O138" i="1"/>
  <c r="P137" i="1"/>
  <c r="O137" i="1"/>
  <c r="P136" i="1"/>
  <c r="O136" i="1"/>
  <c r="P135" i="1"/>
  <c r="O135" i="1"/>
  <c r="P134" i="1"/>
  <c r="O134" i="1"/>
  <c r="P133" i="1"/>
  <c r="O133" i="1"/>
  <c r="P132" i="1"/>
  <c r="O132" i="1"/>
  <c r="P131" i="1"/>
  <c r="O131" i="1"/>
  <c r="P130" i="1"/>
  <c r="O130" i="1"/>
  <c r="P129" i="1"/>
  <c r="O129" i="1"/>
  <c r="P128" i="1"/>
  <c r="O128" i="1"/>
  <c r="P127" i="1"/>
  <c r="O127" i="1"/>
  <c r="P126" i="1"/>
  <c r="O126" i="1"/>
  <c r="P125" i="1"/>
  <c r="O125" i="1"/>
  <c r="P124" i="1"/>
  <c r="O124" i="1"/>
  <c r="P123" i="1"/>
  <c r="O123" i="1"/>
  <c r="P122" i="1"/>
  <c r="O122" i="1"/>
  <c r="P121" i="1"/>
  <c r="O121" i="1"/>
  <c r="P120" i="1"/>
  <c r="O120" i="1"/>
  <c r="P119" i="1"/>
  <c r="O119" i="1"/>
  <c r="P118" i="1"/>
  <c r="O118" i="1"/>
  <c r="P117" i="1"/>
  <c r="O117" i="1"/>
  <c r="P116" i="1"/>
  <c r="O116" i="1"/>
  <c r="P115" i="1"/>
  <c r="O115" i="1"/>
  <c r="P114" i="1"/>
  <c r="O114" i="1"/>
  <c r="P113" i="1"/>
  <c r="O113" i="1"/>
  <c r="P112" i="1"/>
  <c r="O112" i="1"/>
  <c r="P111" i="1"/>
  <c r="O111" i="1"/>
  <c r="P110" i="1"/>
  <c r="O110" i="1"/>
  <c r="P109" i="1"/>
  <c r="O109" i="1"/>
  <c r="P108" i="1"/>
  <c r="O108" i="1"/>
  <c r="P107" i="1"/>
  <c r="O107" i="1"/>
  <c r="P106" i="1"/>
  <c r="O106" i="1"/>
  <c r="P105" i="1"/>
  <c r="O105" i="1"/>
  <c r="P104" i="1"/>
  <c r="O104" i="1"/>
  <c r="P103" i="1"/>
  <c r="O103" i="1"/>
  <c r="P102" i="1"/>
  <c r="O102" i="1"/>
  <c r="P101" i="1"/>
  <c r="O101" i="1"/>
  <c r="P100" i="1"/>
  <c r="O100" i="1"/>
  <c r="P99" i="1"/>
  <c r="O99" i="1"/>
  <c r="P98" i="1"/>
  <c r="O98" i="1"/>
  <c r="P97" i="1"/>
  <c r="O97" i="1"/>
  <c r="P96" i="1"/>
  <c r="O96" i="1"/>
  <c r="P95" i="1"/>
  <c r="O95" i="1"/>
  <c r="P94" i="1"/>
  <c r="O94" i="1"/>
  <c r="P93" i="1"/>
  <c r="O93" i="1"/>
  <c r="P92" i="1"/>
  <c r="O92" i="1"/>
  <c r="P91" i="1"/>
  <c r="O91" i="1"/>
  <c r="P90" i="1"/>
  <c r="O90" i="1"/>
  <c r="P89" i="1"/>
  <c r="O89" i="1"/>
  <c r="P88" i="1"/>
  <c r="O88" i="1"/>
  <c r="P87" i="1"/>
  <c r="O87" i="1"/>
  <c r="P86" i="1"/>
  <c r="O86" i="1"/>
  <c r="P85" i="1"/>
  <c r="O85" i="1"/>
  <c r="P84" i="1"/>
  <c r="O84" i="1"/>
  <c r="P83" i="1"/>
  <c r="O83" i="1"/>
  <c r="P82" i="1"/>
  <c r="O82" i="1"/>
  <c r="P81" i="1"/>
  <c r="O81" i="1"/>
  <c r="P80" i="1"/>
  <c r="O80" i="1"/>
  <c r="P79" i="1"/>
  <c r="O79" i="1"/>
  <c r="P78" i="1"/>
  <c r="O78" i="1"/>
  <c r="P77" i="1"/>
  <c r="O77" i="1"/>
  <c r="P76" i="1"/>
  <c r="O76" i="1"/>
  <c r="P75" i="1"/>
  <c r="O75" i="1"/>
  <c r="P74" i="1"/>
  <c r="O74" i="1"/>
  <c r="P73" i="1"/>
  <c r="O73" i="1"/>
  <c r="P72" i="1"/>
  <c r="O72" i="1"/>
  <c r="P71" i="1"/>
  <c r="O71" i="1"/>
  <c r="P70" i="1"/>
  <c r="O70" i="1"/>
  <c r="P69" i="1"/>
  <c r="O69" i="1"/>
  <c r="P68" i="1"/>
  <c r="O68" i="1"/>
  <c r="P67" i="1"/>
  <c r="O67" i="1"/>
  <c r="P66" i="1"/>
  <c r="O66" i="1"/>
  <c r="P65" i="1"/>
  <c r="O65" i="1"/>
  <c r="P64" i="1"/>
  <c r="O64" i="1"/>
  <c r="P63" i="1"/>
  <c r="O63" i="1"/>
  <c r="P62" i="1"/>
  <c r="O62" i="1"/>
  <c r="P61" i="1"/>
  <c r="O61" i="1"/>
  <c r="P60" i="1"/>
  <c r="O60" i="1"/>
  <c r="P59" i="1"/>
  <c r="O59" i="1"/>
  <c r="P58" i="1"/>
  <c r="O58" i="1"/>
  <c r="P57" i="1"/>
  <c r="O57" i="1"/>
  <c r="P56" i="1"/>
  <c r="O56" i="1"/>
  <c r="P55" i="1"/>
  <c r="O55" i="1"/>
  <c r="P54" i="1"/>
  <c r="O54" i="1"/>
  <c r="P53" i="1"/>
  <c r="O53" i="1"/>
  <c r="P52" i="1"/>
  <c r="O52" i="1"/>
  <c r="P51" i="1"/>
  <c r="O51" i="1"/>
  <c r="P50" i="1"/>
  <c r="O50" i="1"/>
  <c r="P49" i="1"/>
  <c r="O49" i="1"/>
  <c r="P48" i="1"/>
  <c r="O48" i="1"/>
  <c r="P47" i="1"/>
  <c r="O47" i="1"/>
  <c r="P46" i="1"/>
  <c r="O46" i="1"/>
  <c r="P45" i="1"/>
  <c r="O45" i="1"/>
  <c r="P44" i="1"/>
  <c r="O44" i="1"/>
  <c r="P43" i="1"/>
  <c r="O43" i="1"/>
  <c r="P42" i="1"/>
  <c r="O42" i="1"/>
  <c r="P41" i="1"/>
  <c r="O41" i="1"/>
  <c r="P40" i="1"/>
  <c r="O40" i="1"/>
  <c r="P39" i="1"/>
  <c r="O39" i="1"/>
  <c r="P38" i="1"/>
  <c r="O38" i="1"/>
  <c r="P37" i="1"/>
  <c r="O37" i="1"/>
  <c r="P36" i="1"/>
  <c r="O36" i="1"/>
  <c r="P35" i="1"/>
  <c r="O35" i="1"/>
  <c r="P34" i="1"/>
  <c r="O34" i="1"/>
  <c r="P33" i="1"/>
  <c r="O33" i="1"/>
  <c r="P32" i="1"/>
  <c r="O32" i="1"/>
  <c r="P31" i="1"/>
  <c r="O31" i="1"/>
  <c r="P30" i="1"/>
  <c r="O30" i="1"/>
  <c r="P29" i="1"/>
  <c r="O29" i="1"/>
  <c r="P28" i="1"/>
  <c r="O28" i="1"/>
  <c r="P27" i="1"/>
  <c r="O27" i="1"/>
  <c r="P26" i="1"/>
  <c r="O26" i="1"/>
  <c r="P25" i="1"/>
  <c r="O25" i="1"/>
  <c r="P24" i="1"/>
  <c r="O24" i="1"/>
  <c r="P23" i="1"/>
  <c r="O23" i="1"/>
  <c r="P22" i="1"/>
  <c r="O22" i="1"/>
  <c r="P21" i="1"/>
  <c r="O21" i="1"/>
  <c r="P20" i="1"/>
  <c r="O20" i="1"/>
  <c r="P19" i="1"/>
  <c r="O19" i="1"/>
  <c r="P18" i="1"/>
  <c r="O18" i="1"/>
  <c r="P17" i="1"/>
  <c r="O17" i="1"/>
  <c r="P16" i="1"/>
  <c r="O16" i="1"/>
  <c r="P15" i="1"/>
  <c r="O15" i="1"/>
  <c r="P14" i="1"/>
  <c r="O14" i="1"/>
  <c r="P13" i="1"/>
  <c r="O13" i="1"/>
  <c r="P12" i="1"/>
  <c r="O12" i="1"/>
  <c r="P11" i="1"/>
  <c r="O11" i="1"/>
  <c r="P10" i="1"/>
  <c r="O10" i="1"/>
  <c r="P9" i="1"/>
  <c r="O9" i="1"/>
  <c r="P8" i="1"/>
  <c r="O8" i="1"/>
  <c r="P7" i="1"/>
  <c r="O7" i="1"/>
  <c r="P6" i="1"/>
  <c r="O6" i="1"/>
  <c r="P5" i="1"/>
  <c r="O5" i="1"/>
  <c r="P4" i="1"/>
  <c r="O4" i="1"/>
  <c r="P3" i="1"/>
  <c r="O3" i="1"/>
  <c r="P2" i="1"/>
  <c r="O2" i="1"/>
</calcChain>
</file>

<file path=xl/sharedStrings.xml><?xml version="1.0" encoding="utf-8"?>
<sst xmlns="http://schemas.openxmlformats.org/spreadsheetml/2006/main" count="6518" uniqueCount="3334">
  <si>
    <t>Employee ID</t>
  </si>
  <si>
    <t>Full Name</t>
  </si>
  <si>
    <t>Father Name</t>
  </si>
  <si>
    <t>Gender</t>
  </si>
  <si>
    <t>CNIC</t>
  </si>
  <si>
    <t>Email</t>
  </si>
  <si>
    <t>Phone</t>
  </si>
  <si>
    <t>Department</t>
  </si>
  <si>
    <t>Designation</t>
  </si>
  <si>
    <t>Basic Salary</t>
  </si>
  <si>
    <t>Joining Date</t>
  </si>
  <si>
    <t>Status</t>
  </si>
  <si>
    <t>Temporary Password</t>
  </si>
  <si>
    <t>Address</t>
  </si>
  <si>
    <t>Monthly Salary PKR</t>
  </si>
  <si>
    <t>Annual Salary PKR</t>
  </si>
  <si>
    <t>Education Institute</t>
  </si>
  <si>
    <t>Education</t>
  </si>
  <si>
    <t>Date of Birth</t>
  </si>
  <si>
    <t>EMP-ADM-001</t>
  </si>
  <si>
    <t>Bilal Abbasi</t>
  </si>
  <si>
    <t>Salman Abbasi</t>
  </si>
  <si>
    <t>Male</t>
  </si>
  <si>
    <t>42103-2000157-7</t>
  </si>
  <si>
    <t>bilal.abbasi.001@example.com</t>
  </si>
  <si>
    <t>0313-6196537</t>
  </si>
  <si>
    <t>Admin</t>
  </si>
  <si>
    <t>System Admin</t>
  </si>
  <si>
    <t>Active</t>
  </si>
  <si>
    <t>Emp@ADM001#01</t>
  </si>
  <si>
    <t>Latifabad, Hyderabad</t>
  </si>
  <si>
    <t>Institute of Business Administration Karachi</t>
  </si>
  <si>
    <t>BBA</t>
  </si>
  <si>
    <t>EMP-ADM-002</t>
  </si>
  <si>
    <t>Salman Baig</t>
  </si>
  <si>
    <t>Kashif Baig</t>
  </si>
  <si>
    <t>42103-2000213-5</t>
  </si>
  <si>
    <t>salman.baig.002@example.com</t>
  </si>
  <si>
    <t>0333-4834043</t>
  </si>
  <si>
    <t>Admin Officer</t>
  </si>
  <si>
    <t>Emp@ADM002#01</t>
  </si>
  <si>
    <t>Saddar, Rawalpindi</t>
  </si>
  <si>
    <t>Hailey College of Commerce</t>
  </si>
  <si>
    <t>B.Com</t>
  </si>
  <si>
    <t>EMP-ADM-003</t>
  </si>
  <si>
    <t>Waqas Yousuf</t>
  </si>
  <si>
    <t>Faisal Yousuf</t>
  </si>
  <si>
    <t>15101-2000269-9</t>
  </si>
  <si>
    <t>waqas.yousuf.003@example.com</t>
  </si>
  <si>
    <t>0322-3208043</t>
  </si>
  <si>
    <t>Office Coordinator</t>
  </si>
  <si>
    <t>Emp@ADM003#01</t>
  </si>
  <si>
    <t>North Nazimabad, Karachi</t>
  </si>
  <si>
    <t>Adamjee Government Science College</t>
  </si>
  <si>
    <t>Intermediate</t>
  </si>
  <si>
    <t>EMP-ADM-004</t>
  </si>
  <si>
    <t>Talha Qureshi</t>
  </si>
  <si>
    <t>Ehsan Qureshi</t>
  </si>
  <si>
    <t>15101-2000325-9</t>
  </si>
  <si>
    <t>talha.qureshi.004@example.com</t>
  </si>
  <si>
    <t>0301-6852166</t>
  </si>
  <si>
    <t>Records Officer</t>
  </si>
  <si>
    <t>Emp@ADM004#01</t>
  </si>
  <si>
    <t>Federal Urdu University</t>
  </si>
  <si>
    <t>BS Public Administration</t>
  </si>
  <si>
    <t>EMP-ADM-005</t>
  </si>
  <si>
    <t>Zeeshan Javed</t>
  </si>
  <si>
    <t>Bilal Javed</t>
  </si>
  <si>
    <t>61101-2000381-1</t>
  </si>
  <si>
    <t>zeeshan.javed.005@example.com</t>
  </si>
  <si>
    <t>0311-6369157</t>
  </si>
  <si>
    <t>Admin Executive</t>
  </si>
  <si>
    <t>Emp@ADM005#01</t>
  </si>
  <si>
    <t>Johar Town, Lahore</t>
  </si>
  <si>
    <t>University of Karachi Commerce Department</t>
  </si>
  <si>
    <t>EMP-ADM-006</t>
  </si>
  <si>
    <t>Moiz Tariq</t>
  </si>
  <si>
    <t>Shahzaib Tariq</t>
  </si>
  <si>
    <t>61101-2000437-9</t>
  </si>
  <si>
    <t>moiz.tariq.006@example.com</t>
  </si>
  <si>
    <t>0324-2841793</t>
  </si>
  <si>
    <t>Emp@ADM006#01</t>
  </si>
  <si>
    <t>G-9, Islamabad</t>
  </si>
  <si>
    <t>EMP-ADM-007</t>
  </si>
  <si>
    <t>Mustafa Zafar</t>
  </si>
  <si>
    <t>Haroon Zafar</t>
  </si>
  <si>
    <t>35202-2000493-9</t>
  </si>
  <si>
    <t>mustafa.zafar.007@example.com</t>
  </si>
  <si>
    <t>0311-7796852</t>
  </si>
  <si>
    <t>Emp@ADM007#01</t>
  </si>
  <si>
    <t>DJ Sindh Government Science College</t>
  </si>
  <si>
    <t>EMP-ADM-008</t>
  </si>
  <si>
    <t>Hussain Mirza</t>
  </si>
  <si>
    <t>Sufyan Mirza</t>
  </si>
  <si>
    <t>42201-2000549-3</t>
  </si>
  <si>
    <t>hussain.mirza.008@example.com</t>
  </si>
  <si>
    <t>0303-8185229</t>
  </si>
  <si>
    <t>Emp@ADM008#01</t>
  </si>
  <si>
    <t>Gulshan-e-Iqbal, Karachi</t>
  </si>
  <si>
    <t>EMP-ADM-009</t>
  </si>
  <si>
    <t>Fahad Niazi</t>
  </si>
  <si>
    <t>Ahmed Niazi</t>
  </si>
  <si>
    <t>42201-2000605-3</t>
  </si>
  <si>
    <t>fahad.niazi.009@example.com</t>
  </si>
  <si>
    <t>0315-6226005</t>
  </si>
  <si>
    <t>Emp@ADM009#01</t>
  </si>
  <si>
    <t>Model Town, Lahore</t>
  </si>
  <si>
    <t>Bahria University Business Department</t>
  </si>
  <si>
    <t>EMP-ADM-010</t>
  </si>
  <si>
    <t>Rizwan Nadeem</t>
  </si>
  <si>
    <t>Farhan Nadeem</t>
  </si>
  <si>
    <t>35202-2000661-3</t>
  </si>
  <si>
    <t>rizwan.nadeem.010@example.com</t>
  </si>
  <si>
    <t>0321-3004095</t>
  </si>
  <si>
    <t>Emp@ADM010#01</t>
  </si>
  <si>
    <t>EMP-ADM-011</t>
  </si>
  <si>
    <t>Junaid Ali</t>
  </si>
  <si>
    <t>Asim Ali</t>
  </si>
  <si>
    <t>42102-2000717-3</t>
  </si>
  <si>
    <t>junaid.ali.011@example.com</t>
  </si>
  <si>
    <t>0302-5113754</t>
  </si>
  <si>
    <t>Emp@ADM011#01</t>
  </si>
  <si>
    <t>Superior College</t>
  </si>
  <si>
    <t>EMP-ADM-012</t>
  </si>
  <si>
    <t>Rayyan Hashmi</t>
  </si>
  <si>
    <t>Shayan Hashmi</t>
  </si>
  <si>
    <t>37405-2000773-9</t>
  </si>
  <si>
    <t>rayyan.hashmi.012@example.com</t>
  </si>
  <si>
    <t>0311-1802719</t>
  </si>
  <si>
    <t>Emp@ADM012#01</t>
  </si>
  <si>
    <t>EMP-ADM-013</t>
  </si>
  <si>
    <t>Rehan Memon</t>
  </si>
  <si>
    <t>Sami Memon</t>
  </si>
  <si>
    <t>42201-2000829-3</t>
  </si>
  <si>
    <t>rehan.memon.013@example.com</t>
  </si>
  <si>
    <t>0323-8943680</t>
  </si>
  <si>
    <t>Emp@ADM013#01</t>
  </si>
  <si>
    <t>Iqra University Business School</t>
  </si>
  <si>
    <t>EMP-ADM-014</t>
  </si>
  <si>
    <t>Sami Ismail</t>
  </si>
  <si>
    <t>Usman Ismail</t>
  </si>
  <si>
    <t>17301-2000885-9</t>
  </si>
  <si>
    <t>sami.ismail.014@example.com</t>
  </si>
  <si>
    <t>0300-5350346</t>
  </si>
  <si>
    <t>Emp@ADM014#01</t>
  </si>
  <si>
    <t>EMP-ADM-015</t>
  </si>
  <si>
    <t>Ahmed Siddiqui</t>
  </si>
  <si>
    <t>Adeel Siddiqui</t>
  </si>
  <si>
    <t>37405-2000941-5</t>
  </si>
  <si>
    <t>ahmed.siddiqui.015@example.com</t>
  </si>
  <si>
    <t>0314-1527322</t>
  </si>
  <si>
    <t>Emp@ADM015#01</t>
  </si>
  <si>
    <t>Punjab Group of Colleges</t>
  </si>
  <si>
    <t>EMP-ADM-016</t>
  </si>
  <si>
    <t>Bilal Iqbal</t>
  </si>
  <si>
    <t>Shoaib Iqbal</t>
  </si>
  <si>
    <t>17301-2000997-9</t>
  </si>
  <si>
    <t>bilal.iqbal.016@example.com</t>
  </si>
  <si>
    <t>0321-8088373</t>
  </si>
  <si>
    <t>Emp@ADM016#01</t>
  </si>
  <si>
    <t>EMP-ADM-017</t>
  </si>
  <si>
    <t>Salman Akhtar</t>
  </si>
  <si>
    <t>Rehan Akhtar</t>
  </si>
  <si>
    <t>15101-2001053-1</t>
  </si>
  <si>
    <t>salman.akhtar.017@example.com</t>
  </si>
  <si>
    <t>0314-4991949</t>
  </si>
  <si>
    <t>Emp@ADM017#01</t>
  </si>
  <si>
    <t>Karachi School of Business &amp; Leadership</t>
  </si>
  <si>
    <t>EMP-ADM-018</t>
  </si>
  <si>
    <t>Waqas Aziz</t>
  </si>
  <si>
    <t>Abdul Aziz</t>
  </si>
  <si>
    <t>35202-2001109-1</t>
  </si>
  <si>
    <t>waqas.aziz.018@example.com</t>
  </si>
  <si>
    <t>0313-2085207</t>
  </si>
  <si>
    <t>Emp@ADM018#01</t>
  </si>
  <si>
    <t>EMP-ADM-019</t>
  </si>
  <si>
    <t>Talha Raza</t>
  </si>
  <si>
    <t>Zain Raza</t>
  </si>
  <si>
    <t>42101-2001165-9</t>
  </si>
  <si>
    <t>talha.raza.019@example.com</t>
  </si>
  <si>
    <t>0302-9245681</t>
  </si>
  <si>
    <t>Emp@ADM019#01</t>
  </si>
  <si>
    <t>Government Degree College Gulshan-e-Iqbal</t>
  </si>
  <si>
    <t>EMP-ADM-020</t>
  </si>
  <si>
    <t>Zeeshan Rizvi</t>
  </si>
  <si>
    <t>Arslan Rizvi</t>
  </si>
  <si>
    <t>42103-2001221-5</t>
  </si>
  <si>
    <t>zeeshan.rizvi.020@example.com</t>
  </si>
  <si>
    <t>0315-2152851</t>
  </si>
  <si>
    <t>Emp@ADM020#01</t>
  </si>
  <si>
    <t>EMP-ADM-021</t>
  </si>
  <si>
    <t>Moiz Rehman</t>
  </si>
  <si>
    <t>Rayyan Rehman</t>
  </si>
  <si>
    <t>37405-2001277-5</t>
  </si>
  <si>
    <t>moiz.rehman.021@example.com</t>
  </si>
  <si>
    <t>0321-7914364</t>
  </si>
  <si>
    <t>Emp@ADM021#01</t>
  </si>
  <si>
    <t>EMP-ADM-022</t>
  </si>
  <si>
    <t>Mustafa Sheikh</t>
  </si>
  <si>
    <t>Hammad Sheikh</t>
  </si>
  <si>
    <t>35202-2001333-5</t>
  </si>
  <si>
    <t>mustafa.sheikh.022@example.com</t>
  </si>
  <si>
    <t>0300-4762852</t>
  </si>
  <si>
    <t>Emp@ADM022#01</t>
  </si>
  <si>
    <t>Cantt, Faisalabad</t>
  </si>
  <si>
    <t>EMP-ADM-023</t>
  </si>
  <si>
    <t>Hussain Chaudhry</t>
  </si>
  <si>
    <t>Ali Chaudhry</t>
  </si>
  <si>
    <t>42103-2001389-7</t>
  </si>
  <si>
    <t>hussain.chaudhry.023@example.com</t>
  </si>
  <si>
    <t>0321-1336066</t>
  </si>
  <si>
    <t>Emp@ADM023#01</t>
  </si>
  <si>
    <t>EMP-ADM-024</t>
  </si>
  <si>
    <t>Fahad Shah</t>
  </si>
  <si>
    <t>Kamran Shah</t>
  </si>
  <si>
    <t>42103-2001445-3</t>
  </si>
  <si>
    <t>fahad.shah.024@example.com</t>
  </si>
  <si>
    <t>0303-2954138</t>
  </si>
  <si>
    <t>Inactive</t>
  </si>
  <si>
    <t>Emp@ADM024#01</t>
  </si>
  <si>
    <t>EMP-ADM-025</t>
  </si>
  <si>
    <t>Rizwan Sultan</t>
  </si>
  <si>
    <t>Junaid Sultan</t>
  </si>
  <si>
    <t>42103-2001501-1</t>
  </si>
  <si>
    <t>rizwan.sultan.025@example.com</t>
  </si>
  <si>
    <t>0301-5540504</t>
  </si>
  <si>
    <t>Emp@ADM025#01</t>
  </si>
  <si>
    <t>EMP-MGT-001</t>
  </si>
  <si>
    <t>Hassan Butt</t>
  </si>
  <si>
    <t>Basit Butt</t>
  </si>
  <si>
    <t>61101-2001183-3</t>
  </si>
  <si>
    <t>hassan.butt.026@example.com</t>
  </si>
  <si>
    <t>0313-9881913</t>
  </si>
  <si>
    <t>Management</t>
  </si>
  <si>
    <t>General Manager</t>
  </si>
  <si>
    <t>Emp@MGT001#02</t>
  </si>
  <si>
    <t>EMP-MGT-002</t>
  </si>
  <si>
    <t>Danish Anwar</t>
  </si>
  <si>
    <t>Haris Anwar</t>
  </si>
  <si>
    <t>42103-2001239-9</t>
  </si>
  <si>
    <t>danish.anwar.027@example.com</t>
  </si>
  <si>
    <t>0333-2477208</t>
  </si>
  <si>
    <t>Assistant Manager</t>
  </si>
  <si>
    <t>Emp@MGT002#02</t>
  </si>
  <si>
    <t>BS Business Administration</t>
  </si>
  <si>
    <t>EMP-MGT-003</t>
  </si>
  <si>
    <t>Adnan Saleem</t>
  </si>
  <si>
    <t>Hamza Saleem</t>
  </si>
  <si>
    <t>15101-2001295-7</t>
  </si>
  <si>
    <t>adnan.saleem.028@example.com</t>
  </si>
  <si>
    <t>0300-6716842</t>
  </si>
  <si>
    <t>Team Lead</t>
  </si>
  <si>
    <t>Emp@MGT003#02</t>
  </si>
  <si>
    <t>MS Management</t>
  </si>
  <si>
    <t>EMP-MGT-004</t>
  </si>
  <si>
    <t>Faizan Ahmed</t>
  </si>
  <si>
    <t>Rizwan Ahmed</t>
  </si>
  <si>
    <t>61101-2001351-9</t>
  </si>
  <si>
    <t>faizan.ahmed.029@example.com</t>
  </si>
  <si>
    <t>0322-2978649</t>
  </si>
  <si>
    <t>Business Coordinator</t>
  </si>
  <si>
    <t>Emp@MGT004#02</t>
  </si>
  <si>
    <t>MBA</t>
  </si>
  <si>
    <t>EMP-MGT-005</t>
  </si>
  <si>
    <t>Muneeb Abbasi</t>
  </si>
  <si>
    <t>Sameer Abbasi</t>
  </si>
  <si>
    <t>42101-2001407-5</t>
  </si>
  <si>
    <t>muneeb.abbasi.030@example.com</t>
  </si>
  <si>
    <t>0312-4856643</t>
  </si>
  <si>
    <t>Operations Manager</t>
  </si>
  <si>
    <t>Emp@MGT005#02</t>
  </si>
  <si>
    <t>EMP-MGT-006</t>
  </si>
  <si>
    <t>Nabeel Baig</t>
  </si>
  <si>
    <t>Shahid Baig</t>
  </si>
  <si>
    <t>42103-2001463-1</t>
  </si>
  <si>
    <t>nabeel.baig.031@example.com</t>
  </si>
  <si>
    <t>0314-2011025</t>
  </si>
  <si>
    <t>Emp@MGT006#02</t>
  </si>
  <si>
    <t>EMP-MGT-007</t>
  </si>
  <si>
    <t>Dawood Yousuf</t>
  </si>
  <si>
    <t>Rameez Yousuf</t>
  </si>
  <si>
    <t>42102-2001519-1</t>
  </si>
  <si>
    <t>dawood.yousuf.032@example.com</t>
  </si>
  <si>
    <t>0301-2333790</t>
  </si>
  <si>
    <t>Emp@MGT007#02</t>
  </si>
  <si>
    <t>EMP-MGT-008</t>
  </si>
  <si>
    <t>Rameez Qureshi</t>
  </si>
  <si>
    <t>Fahad Qureshi</t>
  </si>
  <si>
    <t>15101-2001575-5</t>
  </si>
  <si>
    <t>rameez.qureshi.033@example.com</t>
  </si>
  <si>
    <t>0314-2726918</t>
  </si>
  <si>
    <t>Emp@MGT008#02</t>
  </si>
  <si>
    <t>EMP-MGT-009</t>
  </si>
  <si>
    <t>Hamza Javed</t>
  </si>
  <si>
    <t>Yasir Javed</t>
  </si>
  <si>
    <t>17301-2001631-5</t>
  </si>
  <si>
    <t>hamza.javed.034@example.com</t>
  </si>
  <si>
    <t>0315-2103318</t>
  </si>
  <si>
    <t>Emp@MGT009#02</t>
  </si>
  <si>
    <t>EMP-MGT-010</t>
  </si>
  <si>
    <t>Kamran Tariq</t>
  </si>
  <si>
    <t>Abdullah Tariq</t>
  </si>
  <si>
    <t>42102-2001687-7</t>
  </si>
  <si>
    <t>kamran.tariq.035@example.com</t>
  </si>
  <si>
    <t>0324-9620883</t>
  </si>
  <si>
    <t>Emp@MGT010#02</t>
  </si>
  <si>
    <t>EMP-MGT-011</t>
  </si>
  <si>
    <t>Arslan Zafar</t>
  </si>
  <si>
    <t>Dawood Zafar</t>
  </si>
  <si>
    <t>35202-2001743-3</t>
  </si>
  <si>
    <t>arslan.zafar.036@example.com</t>
  </si>
  <si>
    <t>0300-8591678</t>
  </si>
  <si>
    <t>Emp@MGT011#02</t>
  </si>
  <si>
    <t>EMP-MGT-012</t>
  </si>
  <si>
    <t>Shoaib Mirza</t>
  </si>
  <si>
    <t>42103-2001799-5</t>
  </si>
  <si>
    <t>shoaib.mirza.037@example.com</t>
  </si>
  <si>
    <t>0300-8386485</t>
  </si>
  <si>
    <t>Emp@MGT012#02</t>
  </si>
  <si>
    <t>EMP-MGT-013</t>
  </si>
  <si>
    <t>Shayan Niazi</t>
  </si>
  <si>
    <t>Noman Niazi</t>
  </si>
  <si>
    <t>17301-2001855-1</t>
  </si>
  <si>
    <t>shayan.niazi.038@example.com</t>
  </si>
  <si>
    <t>0311-9044107</t>
  </si>
  <si>
    <t>Emp@MGT013#02</t>
  </si>
  <si>
    <t>EMP-MGT-014</t>
  </si>
  <si>
    <t>Sufyan Nadeem</t>
  </si>
  <si>
    <t>Naveed Nadeem</t>
  </si>
  <si>
    <t>17301-2001911-1</t>
  </si>
  <si>
    <t>sufyan.nadeem.039@example.com</t>
  </si>
  <si>
    <t>0333-1281375</t>
  </si>
  <si>
    <t>Emp@MGT014#02</t>
  </si>
  <si>
    <t>EMP-MGT-015</t>
  </si>
  <si>
    <t>Ehsan Ali</t>
  </si>
  <si>
    <t>Nabeel Ali</t>
  </si>
  <si>
    <t>15101-2001967-3</t>
  </si>
  <si>
    <t>ehsan.ali.040@example.com</t>
  </si>
  <si>
    <t>0322-1536793</t>
  </si>
  <si>
    <t>Emp@MGT015#02</t>
  </si>
  <si>
    <t>EMP-MGT-016</t>
  </si>
  <si>
    <t>Hassan Hashmi</t>
  </si>
  <si>
    <t>Mustafa Hashmi</t>
  </si>
  <si>
    <t>15101-2002023-3</t>
  </si>
  <si>
    <t>hassan.hashmi.041@example.com</t>
  </si>
  <si>
    <t>0322-4259593</t>
  </si>
  <si>
    <t>Emp@MGT016#02</t>
  </si>
  <si>
    <t>EMP-MGT-017</t>
  </si>
  <si>
    <t>Danish Memon</t>
  </si>
  <si>
    <t>Saad Memon</t>
  </si>
  <si>
    <t>15101-2002079-3</t>
  </si>
  <si>
    <t>danish.memon.042@example.com</t>
  </si>
  <si>
    <t>0333-9058868</t>
  </si>
  <si>
    <t>Emp@MGT017#02</t>
  </si>
  <si>
    <t>EMP-MGT-018</t>
  </si>
  <si>
    <t>Adnan Ismail</t>
  </si>
  <si>
    <t>Taha Ismail</t>
  </si>
  <si>
    <t>35202-2002135-1</t>
  </si>
  <si>
    <t>adnan.ismail.043@example.com</t>
  </si>
  <si>
    <t>0333-8037010</t>
  </si>
  <si>
    <t>Emp@MGT018#02</t>
  </si>
  <si>
    <t>EMP-MGT-019</t>
  </si>
  <si>
    <t>Faizan Siddiqui</t>
  </si>
  <si>
    <t>Muneeb Siddiqui</t>
  </si>
  <si>
    <t>37405-2002191-9</t>
  </si>
  <si>
    <t>faizan.siddiqui.044@example.com</t>
  </si>
  <si>
    <t>0302-7071532</t>
  </si>
  <si>
    <t>Emp@MGT019#02</t>
  </si>
  <si>
    <t>EMP-MGT-020</t>
  </si>
  <si>
    <t>Muneeb Iqbal</t>
  </si>
  <si>
    <t>Moiz Iqbal</t>
  </si>
  <si>
    <t>42101-2002247-1</t>
  </si>
  <si>
    <t>muneeb.iqbal.045@example.com</t>
  </si>
  <si>
    <t>0313-5263093</t>
  </si>
  <si>
    <t>Emp@MGT020#02</t>
  </si>
  <si>
    <t>EMP-MGT-021</t>
  </si>
  <si>
    <t>Nabeel Akhtar</t>
  </si>
  <si>
    <t>Muhammad Akhtar</t>
  </si>
  <si>
    <t>15101-2002303-5</t>
  </si>
  <si>
    <t>nabeel.akhtar.046@example.com</t>
  </si>
  <si>
    <t>0312-3440983</t>
  </si>
  <si>
    <t>Emp@MGT021#02</t>
  </si>
  <si>
    <t>EMP-MGT-022</t>
  </si>
  <si>
    <t>Dawood Aziz</t>
  </si>
  <si>
    <t>Imran Aziz</t>
  </si>
  <si>
    <t>37405-2002359-3</t>
  </si>
  <si>
    <t>dawood.aziz.047@example.com</t>
  </si>
  <si>
    <t>0321-8364704</t>
  </si>
  <si>
    <t>Emp@MGT022#02</t>
  </si>
  <si>
    <t>EMP-MGT-023</t>
  </si>
  <si>
    <t>Rameez Raza</t>
  </si>
  <si>
    <t>Faizan Raza</t>
  </si>
  <si>
    <t>42101-2002415-1</t>
  </si>
  <si>
    <t>rameez.raza.048@example.com</t>
  </si>
  <si>
    <t>0300-7321263</t>
  </si>
  <si>
    <t>Emp@MGT023#02</t>
  </si>
  <si>
    <t>EMP-MGT-024</t>
  </si>
  <si>
    <t>Hamza Rizvi</t>
  </si>
  <si>
    <t>42201-2002471-5</t>
  </si>
  <si>
    <t>hamza.rizvi.049@example.com</t>
  </si>
  <si>
    <t>0324-5487903</t>
  </si>
  <si>
    <t>Emp@MGT024#02</t>
  </si>
  <si>
    <t>EMP-MGT-025</t>
  </si>
  <si>
    <t>Kamran Rehman</t>
  </si>
  <si>
    <t>Osama Rehman</t>
  </si>
  <si>
    <t>61101-2002527-7</t>
  </si>
  <si>
    <t>kamran.rehman.050@example.com</t>
  </si>
  <si>
    <t>0301-6574215</t>
  </si>
  <si>
    <t>Emp@MGT025#02</t>
  </si>
  <si>
    <t>EMP-SAL-001</t>
  </si>
  <si>
    <t>Qasim Malik</t>
  </si>
  <si>
    <t>Umar Malik</t>
  </si>
  <si>
    <t>17301-2002209-5</t>
  </si>
  <si>
    <t>qasim.malik.051@example.com</t>
  </si>
  <si>
    <t>0324-6997363</t>
  </si>
  <si>
    <t>Sales</t>
  </si>
  <si>
    <t>Sales Executive</t>
  </si>
  <si>
    <t>Emp@SAL001#03</t>
  </si>
  <si>
    <t>Karachi University Commerce Department</t>
  </si>
  <si>
    <t>EMP-SAL-002</t>
  </si>
  <si>
    <t>Umar Farooqui</t>
  </si>
  <si>
    <t>Adnan Farooqui</t>
  </si>
  <si>
    <t>42102-2002265-3</t>
  </si>
  <si>
    <t>umar.farooqui.052@example.com</t>
  </si>
  <si>
    <t>0321-7210692</t>
  </si>
  <si>
    <t>Sales Officer</t>
  </si>
  <si>
    <t>Emp@SAL002#03</t>
  </si>
  <si>
    <t>MBA Marketing</t>
  </si>
  <si>
    <t>EMP-SAL-003</t>
  </si>
  <si>
    <t>Imran Syed</t>
  </si>
  <si>
    <t>Talha Syed</t>
  </si>
  <si>
    <t>15101-2002321-9</t>
  </si>
  <si>
    <t>imran.syed.053@example.com</t>
  </si>
  <si>
    <t>0312-7265026</t>
  </si>
  <si>
    <t>Key Account Executive</t>
  </si>
  <si>
    <t>Emp@SAL003#03</t>
  </si>
  <si>
    <t>BBA Marketing</t>
  </si>
  <si>
    <t>EMP-SAL-004</t>
  </si>
  <si>
    <t>Taha Nawaz</t>
  </si>
  <si>
    <t>Irfan Nawaz</t>
  </si>
  <si>
    <t>42201-2002377-3</t>
  </si>
  <si>
    <t>taha.nawaz.054@example.com</t>
  </si>
  <si>
    <t>0315-6160608</t>
  </si>
  <si>
    <t>Sales Coordinator</t>
  </si>
  <si>
    <t>Emp@SAL004#03</t>
  </si>
  <si>
    <t>EMP-SAL-005</t>
  </si>
  <si>
    <t>Naveed Butt</t>
  </si>
  <si>
    <t>Qasim Butt</t>
  </si>
  <si>
    <t>15101-2002433-1</t>
  </si>
  <si>
    <t>naveed.butt.055@example.com</t>
  </si>
  <si>
    <t>0315-8428334</t>
  </si>
  <si>
    <t>Retail Sales Associate</t>
  </si>
  <si>
    <t>Emp@SAL005#03</t>
  </si>
  <si>
    <t>EMP-SAL-006</t>
  </si>
  <si>
    <t>Abdullah Anwar</t>
  </si>
  <si>
    <t>17301-2002489-1</t>
  </si>
  <si>
    <t>abdullah.anwar.056@example.com</t>
  </si>
  <si>
    <t>0333-7497223</t>
  </si>
  <si>
    <t>Emp@SAL006#03</t>
  </si>
  <si>
    <t>EMP-SAL-007</t>
  </si>
  <si>
    <t>Shahid Saleem</t>
  </si>
  <si>
    <t>Waqas Saleem</t>
  </si>
  <si>
    <t>17301-2002545-1</t>
  </si>
  <si>
    <t>shahid.saleem.057@example.com</t>
  </si>
  <si>
    <t>0313-6021103</t>
  </si>
  <si>
    <t>Emp@SAL007#03</t>
  </si>
  <si>
    <t>EMP-SAL-008</t>
  </si>
  <si>
    <t>Haris Ahmed</t>
  </si>
  <si>
    <t>Ahsan Ahmed</t>
  </si>
  <si>
    <t>37405-2002601-7</t>
  </si>
  <si>
    <t>haris.ahmed.058@example.com</t>
  </si>
  <si>
    <t>0344-9200552</t>
  </si>
  <si>
    <t>Emp@SAL008#03</t>
  </si>
  <si>
    <t>EMP-SAL-009</t>
  </si>
  <si>
    <t>Ali Abbasi</t>
  </si>
  <si>
    <t>Ammar Abbasi</t>
  </si>
  <si>
    <t>35202-2002657-7</t>
  </si>
  <si>
    <t>ali.abbasi.059@example.com</t>
  </si>
  <si>
    <t>0301-1861210</t>
  </si>
  <si>
    <t>Emp@SAL009#03</t>
  </si>
  <si>
    <t>EMP-SAL-010</t>
  </si>
  <si>
    <t>Zain Baig</t>
  </si>
  <si>
    <t>Hassan Baig</t>
  </si>
  <si>
    <t>17301-2002713-3</t>
  </si>
  <si>
    <t>zain.baig.060@example.com</t>
  </si>
  <si>
    <t>0302-1978585</t>
  </si>
  <si>
    <t>Emp@SAL010#03</t>
  </si>
  <si>
    <t>EMP-SAL-011</t>
  </si>
  <si>
    <t>Adeel Yousuf</t>
  </si>
  <si>
    <t>Salman Yousuf</t>
  </si>
  <si>
    <t>17301-2002769-9</t>
  </si>
  <si>
    <t>adeel.yousuf.061@example.com</t>
  </si>
  <si>
    <t>0313-3824561</t>
  </si>
  <si>
    <t>Emp@SAL011#03</t>
  </si>
  <si>
    <t>EMP-SAL-012</t>
  </si>
  <si>
    <t>Asim Qureshi</t>
  </si>
  <si>
    <t>Kashif Qureshi</t>
  </si>
  <si>
    <t>35202-2002825-9</t>
  </si>
  <si>
    <t>asim.qureshi.062@example.com</t>
  </si>
  <si>
    <t>0312-7222866</t>
  </si>
  <si>
    <t>Emp@SAL012#03</t>
  </si>
  <si>
    <t>EMP-SAL-013</t>
  </si>
  <si>
    <t>Haroon Javed</t>
  </si>
  <si>
    <t>Faisal Javed</t>
  </si>
  <si>
    <t>37405-2002881-3</t>
  </si>
  <si>
    <t>haroon.javed.063@example.com</t>
  </si>
  <si>
    <t>0313-9525235</t>
  </si>
  <si>
    <t>Emp@SAL013#03</t>
  </si>
  <si>
    <t>EMP-SAL-014</t>
  </si>
  <si>
    <t>Faisal Tariq</t>
  </si>
  <si>
    <t>Ehsan Tariq</t>
  </si>
  <si>
    <t>15101-2002937-1</t>
  </si>
  <si>
    <t>faisal.tariq.064@example.com</t>
  </si>
  <si>
    <t>0300-1058097</t>
  </si>
  <si>
    <t>Emp@SAL014#03</t>
  </si>
  <si>
    <t>EMP-SAL-015</t>
  </si>
  <si>
    <t>Ammar Zafar</t>
  </si>
  <si>
    <t>Bilal Zafar</t>
  </si>
  <si>
    <t>42201-2002993-3</t>
  </si>
  <si>
    <t>ammar.zafar.065@example.com</t>
  </si>
  <si>
    <t>0300-5053404</t>
  </si>
  <si>
    <t>Emp@SAL015#03</t>
  </si>
  <si>
    <t>EMP-SAL-016</t>
  </si>
  <si>
    <t>Qasim Mirza</t>
  </si>
  <si>
    <t>Shahzaib Mirza</t>
  </si>
  <si>
    <t>42103-2003049-5</t>
  </si>
  <si>
    <t>qasim.mirza.066@example.com</t>
  </si>
  <si>
    <t>0312-8954859</t>
  </si>
  <si>
    <t>Emp@SAL016#03</t>
  </si>
  <si>
    <t>EMP-SAL-017</t>
  </si>
  <si>
    <t>Umar Niazi</t>
  </si>
  <si>
    <t>Haroon Niazi</t>
  </si>
  <si>
    <t>15101-2003105-3</t>
  </si>
  <si>
    <t>umar.niazi.067@example.com</t>
  </si>
  <si>
    <t>0302-1233061</t>
  </si>
  <si>
    <t>Emp@SAL017#03</t>
  </si>
  <si>
    <t>EMP-SAL-018</t>
  </si>
  <si>
    <t>Imran Nadeem</t>
  </si>
  <si>
    <t>15101-2003161-7</t>
  </si>
  <si>
    <t>imran.nadeem.068@example.com</t>
  </si>
  <si>
    <t>0323-3848893</t>
  </si>
  <si>
    <t>Emp@SAL018#03</t>
  </si>
  <si>
    <t>EMP-SAL-019</t>
  </si>
  <si>
    <t>Taha Ali</t>
  </si>
  <si>
    <t>Ahmed Ali</t>
  </si>
  <si>
    <t>17301-2003217-5</t>
  </si>
  <si>
    <t>taha.ali.069@example.com</t>
  </si>
  <si>
    <t>0301-1403964</t>
  </si>
  <si>
    <t>Emp@SAL019#03</t>
  </si>
  <si>
    <t>EMP-SAL-020</t>
  </si>
  <si>
    <t>Naveed Hashmi</t>
  </si>
  <si>
    <t>Farhan Hashmi</t>
  </si>
  <si>
    <t>42102-2003273-9</t>
  </si>
  <si>
    <t>naveed.hashmi.070@example.com</t>
  </si>
  <si>
    <t>0322-8591447</t>
  </si>
  <si>
    <t>Emp@SAL020#03</t>
  </si>
  <si>
    <t>EMP-SAL-021</t>
  </si>
  <si>
    <t>Abdullah Memon</t>
  </si>
  <si>
    <t>Asim Memon</t>
  </si>
  <si>
    <t>15101-2003329-7</t>
  </si>
  <si>
    <t>abdullah.memon.071@example.com</t>
  </si>
  <si>
    <t>0344-3866698</t>
  </si>
  <si>
    <t>Emp@SAL021#03</t>
  </si>
  <si>
    <t>EMP-SAL-022</t>
  </si>
  <si>
    <t>Shahid Ismail</t>
  </si>
  <si>
    <t>Shayan Ismail</t>
  </si>
  <si>
    <t>42103-2003385-1</t>
  </si>
  <si>
    <t>shahid.ismail.072@example.com</t>
  </si>
  <si>
    <t>0313-4268668</t>
  </si>
  <si>
    <t>Emp@SAL022#03</t>
  </si>
  <si>
    <t>EMP-SAL-023</t>
  </si>
  <si>
    <t>Haris Siddiqui</t>
  </si>
  <si>
    <t>Sami Siddiqui</t>
  </si>
  <si>
    <t>42102-2003441-3</t>
  </si>
  <si>
    <t>haris.siddiqui.073@example.com</t>
  </si>
  <si>
    <t>0302-2275695</t>
  </si>
  <si>
    <t>Emp@SAL023#03</t>
  </si>
  <si>
    <t>EMP-SAL-024</t>
  </si>
  <si>
    <t>Ali Iqbal</t>
  </si>
  <si>
    <t>Usman Iqbal</t>
  </si>
  <si>
    <t>42102-2003497-7</t>
  </si>
  <si>
    <t>ali.iqbal.074@example.com</t>
  </si>
  <si>
    <t>0311-8539001</t>
  </si>
  <si>
    <t>Emp@SAL024#03</t>
  </si>
  <si>
    <t>EMP-SAL-025</t>
  </si>
  <si>
    <t>Zain Akhtar</t>
  </si>
  <si>
    <t>Adeel Akhtar</t>
  </si>
  <si>
    <t>17301-2003553-3</t>
  </si>
  <si>
    <t>zain.akhtar.075@example.com</t>
  </si>
  <si>
    <t>0311-4312377</t>
  </si>
  <si>
    <t>Emp@SAL025#03</t>
  </si>
  <si>
    <t>EMP-PUR-001</t>
  </si>
  <si>
    <t>Osama Khan</t>
  </si>
  <si>
    <t>Shoaib Khan</t>
  </si>
  <si>
    <t>35202-2003235-1</t>
  </si>
  <si>
    <t>osama.khan.076@example.com</t>
  </si>
  <si>
    <t>0333-6491395</t>
  </si>
  <si>
    <t>Purchase</t>
  </si>
  <si>
    <t>Purchase Officer</t>
  </si>
  <si>
    <t>Emp@PUR001#04</t>
  </si>
  <si>
    <t>EMP-PUR-002</t>
  </si>
  <si>
    <t>Muhammad Hussain</t>
  </si>
  <si>
    <t>Rehan Hussain</t>
  </si>
  <si>
    <t>17301-2003291-1</t>
  </si>
  <si>
    <t>muhammad.hussain.077@example.com</t>
  </si>
  <si>
    <t>0314-4817503</t>
  </si>
  <si>
    <t>Procurement Executive</t>
  </si>
  <si>
    <t>Emp@PUR002#04</t>
  </si>
  <si>
    <t>Institute of Logistics &amp; Supply Chain Management</t>
  </si>
  <si>
    <t>BBA Supply Chain</t>
  </si>
  <si>
    <t>EMP-PUR-003</t>
  </si>
  <si>
    <t>Saad Ansari</t>
  </si>
  <si>
    <t>Abdul Ansari</t>
  </si>
  <si>
    <t>42102-2003347-7</t>
  </si>
  <si>
    <t>saad.ansari.078@example.com</t>
  </si>
  <si>
    <t>0315-1422105</t>
  </si>
  <si>
    <t>Vendor Coordinator</t>
  </si>
  <si>
    <t>Emp@PUR003#04</t>
  </si>
  <si>
    <t>Government College of Commerce Karachi</t>
  </si>
  <si>
    <t>EMP-PUR-004</t>
  </si>
  <si>
    <t>Noman Khalid</t>
  </si>
  <si>
    <t>Zain Khalid</t>
  </si>
  <si>
    <t>42101-2003403-9</t>
  </si>
  <si>
    <t>noman.khalid.079@example.com</t>
  </si>
  <si>
    <t>0323-4118104</t>
  </si>
  <si>
    <t>Buying Assistant</t>
  </si>
  <si>
    <t>Emp@PUR004#04</t>
  </si>
  <si>
    <t>Pakistan Institute of Management</t>
  </si>
  <si>
    <t>MBA Supply Chain</t>
  </si>
  <si>
    <t>EMP-PUR-005</t>
  </si>
  <si>
    <t>Yasir Malik</t>
  </si>
  <si>
    <t>Arslan Malik</t>
  </si>
  <si>
    <t>61101-2003459-3</t>
  </si>
  <si>
    <t>yasir.malik.080@example.com</t>
  </si>
  <si>
    <t>0312-1181904</t>
  </si>
  <si>
    <t>Purchase Manager</t>
  </si>
  <si>
    <t>Emp@PUR005#04</t>
  </si>
  <si>
    <t>EMP-PUR-006</t>
  </si>
  <si>
    <t>Sameer Farooqui</t>
  </si>
  <si>
    <t>Rayyan Farooqui</t>
  </si>
  <si>
    <t>35202-2003515-3</t>
  </si>
  <si>
    <t>sameer.farooqui.081@example.com</t>
  </si>
  <si>
    <t>0314-9868930</t>
  </si>
  <si>
    <t>Emp@PUR006#04</t>
  </si>
  <si>
    <t>EMP-PUR-007</t>
  </si>
  <si>
    <t>Basit Syed</t>
  </si>
  <si>
    <t>Hammad Syed</t>
  </si>
  <si>
    <t>42103-2003571-5</t>
  </si>
  <si>
    <t>basit.syed.082@example.com</t>
  </si>
  <si>
    <t>0323-3316323</t>
  </si>
  <si>
    <t>Emp@PUR007#04</t>
  </si>
  <si>
    <t>EMP-PUR-008</t>
  </si>
  <si>
    <t>Hammad Nawaz</t>
  </si>
  <si>
    <t>Ali Nawaz</t>
  </si>
  <si>
    <t>35202-2003627-3</t>
  </si>
  <si>
    <t>hammad.nawaz.083@example.com</t>
  </si>
  <si>
    <t>0333-4074863</t>
  </si>
  <si>
    <t>Emp@PUR008#04</t>
  </si>
  <si>
    <t>EMP-PUR-009</t>
  </si>
  <si>
    <t>Abdul Butt</t>
  </si>
  <si>
    <t>Kamran Butt</t>
  </si>
  <si>
    <t>42103-2003683-7</t>
  </si>
  <si>
    <t>abdul.butt.084@example.com</t>
  </si>
  <si>
    <t>0311-7721796</t>
  </si>
  <si>
    <t>Emp@PUR009#04</t>
  </si>
  <si>
    <t>EMP-PUR-010</t>
  </si>
  <si>
    <t>Usman Anwar</t>
  </si>
  <si>
    <t>Junaid Anwar</t>
  </si>
  <si>
    <t>35202-2003739-3</t>
  </si>
  <si>
    <t>usman.anwar.085@example.com</t>
  </si>
  <si>
    <t>0323-7865669</t>
  </si>
  <si>
    <t>Emp@PUR010#04</t>
  </si>
  <si>
    <t>EMP-PUR-011</t>
  </si>
  <si>
    <t>Farhan Saleem</t>
  </si>
  <si>
    <t>Basit Saleem</t>
  </si>
  <si>
    <t>61101-2003795-5</t>
  </si>
  <si>
    <t>farhan.saleem.086@example.com</t>
  </si>
  <si>
    <t>0333-1350865</t>
  </si>
  <si>
    <t>Emp@PUR011#04</t>
  </si>
  <si>
    <t>EMP-PUR-012</t>
  </si>
  <si>
    <t>Shahzaib Ahmed</t>
  </si>
  <si>
    <t>42102-2003851-5</t>
  </si>
  <si>
    <t>shahzaib.ahmed.087@example.com</t>
  </si>
  <si>
    <t>0302-4166586</t>
  </si>
  <si>
    <t>Emp@PUR012#04</t>
  </si>
  <si>
    <t>EMP-PUR-013</t>
  </si>
  <si>
    <t>Kashif Abbasi</t>
  </si>
  <si>
    <t>Hamza Abbasi</t>
  </si>
  <si>
    <t>35202-2003907-5</t>
  </si>
  <si>
    <t>kashif.abbasi.088@example.com</t>
  </si>
  <si>
    <t>0323-7687447</t>
  </si>
  <si>
    <t>Emp@PUR013#04</t>
  </si>
  <si>
    <t>EMP-PUR-014</t>
  </si>
  <si>
    <t>Ahsan Baig</t>
  </si>
  <si>
    <t>Rizwan Baig</t>
  </si>
  <si>
    <t>42201-2003963-9</t>
  </si>
  <si>
    <t>ahsan.baig.089@example.com</t>
  </si>
  <si>
    <t>0321-7736204</t>
  </si>
  <si>
    <t>Emp@PUR014#04</t>
  </si>
  <si>
    <t>EMP-PUR-015</t>
  </si>
  <si>
    <t>Irfan Yousuf</t>
  </si>
  <si>
    <t>Sameer Yousuf</t>
  </si>
  <si>
    <t>37405-2004019-7</t>
  </si>
  <si>
    <t>irfan.yousuf.090@example.com</t>
  </si>
  <si>
    <t>0311-7676719</t>
  </si>
  <si>
    <t>Emp@PUR015#04</t>
  </si>
  <si>
    <t>EMP-PUR-016</t>
  </si>
  <si>
    <t>Osama Qureshi</t>
  </si>
  <si>
    <t>Shahid Qureshi</t>
  </si>
  <si>
    <t>42103-2004075-3</t>
  </si>
  <si>
    <t>osama.qureshi.091@example.com</t>
  </si>
  <si>
    <t>0303-8928012</t>
  </si>
  <si>
    <t>Emp@PUR016#04</t>
  </si>
  <si>
    <t>EMP-PUR-017</t>
  </si>
  <si>
    <t>Muhammad Javed</t>
  </si>
  <si>
    <t>Rameez Javed</t>
  </si>
  <si>
    <t>42201-2004131-3</t>
  </si>
  <si>
    <t>muhammad.javed.092@example.com</t>
  </si>
  <si>
    <t>0303-6673639</t>
  </si>
  <si>
    <t>Emp@PUR017#04</t>
  </si>
  <si>
    <t>EMP-PUR-018</t>
  </si>
  <si>
    <t>Saad Tariq</t>
  </si>
  <si>
    <t>Fahad Tariq</t>
  </si>
  <si>
    <t>42103-2004187-5</t>
  </si>
  <si>
    <t>saad.tariq.093@example.com</t>
  </si>
  <si>
    <t>0313-9601633</t>
  </si>
  <si>
    <t>Emp@PUR018#04</t>
  </si>
  <si>
    <t>EMP-PUR-019</t>
  </si>
  <si>
    <t>Noman Zafar</t>
  </si>
  <si>
    <t>Yasir Zafar</t>
  </si>
  <si>
    <t>42103-2004243-5</t>
  </si>
  <si>
    <t>noman.zafar.094@example.com</t>
  </si>
  <si>
    <t>0333-1551247</t>
  </si>
  <si>
    <t>Emp@PUR019#04</t>
  </si>
  <si>
    <t>EMP-PUR-020</t>
  </si>
  <si>
    <t>Yasir Mirza</t>
  </si>
  <si>
    <t>Abdullah Mirza</t>
  </si>
  <si>
    <t>61101-2004299-3</t>
  </si>
  <si>
    <t>yasir.mirza.095@example.com</t>
  </si>
  <si>
    <t>0322-6381383</t>
  </si>
  <si>
    <t>Emp@PUR020#04</t>
  </si>
  <si>
    <t>EMP-PUR-021</t>
  </si>
  <si>
    <t>Sameer Niazi</t>
  </si>
  <si>
    <t>Dawood Niazi</t>
  </si>
  <si>
    <t>17301-2004355-9</t>
  </si>
  <si>
    <t>sameer.niazi.096@example.com</t>
  </si>
  <si>
    <t>0322-4921796</t>
  </si>
  <si>
    <t>Emp@PUR021#04</t>
  </si>
  <si>
    <t>EMP-PUR-022</t>
  </si>
  <si>
    <t>Basit Nadeem</t>
  </si>
  <si>
    <t>Hussain Nadeem</t>
  </si>
  <si>
    <t>61101-2004411-5</t>
  </si>
  <si>
    <t>basit.nadeem.097@example.com</t>
  </si>
  <si>
    <t>0323-7597618</t>
  </si>
  <si>
    <t>Emp@PUR022#04</t>
  </si>
  <si>
    <t>EMP-PUR-023</t>
  </si>
  <si>
    <t>Hammad Ali</t>
  </si>
  <si>
    <t>Noman Ali</t>
  </si>
  <si>
    <t>17301-2004467-5</t>
  </si>
  <si>
    <t>hammad.ali.098@example.com</t>
  </si>
  <si>
    <t>0324-3090942</t>
  </si>
  <si>
    <t>Emp@PUR023#04</t>
  </si>
  <si>
    <t>EMP-PUR-024</t>
  </si>
  <si>
    <t>Abdul Hashmi</t>
  </si>
  <si>
    <t>42101-2004523-1</t>
  </si>
  <si>
    <t>abdul.hashmi.099@example.com</t>
  </si>
  <si>
    <t>0315-1662076</t>
  </si>
  <si>
    <t>Emp@PUR024#04</t>
  </si>
  <si>
    <t>EMP-PUR-025</t>
  </si>
  <si>
    <t>Usman Memon</t>
  </si>
  <si>
    <t>Nabeel Memon</t>
  </si>
  <si>
    <t>15101-2004579-3</t>
  </si>
  <si>
    <t>usman.memon.100@example.com</t>
  </si>
  <si>
    <t>0302-8113060</t>
  </si>
  <si>
    <t>Emp@PUR025#04</t>
  </si>
  <si>
    <t>EMP-INV-001</t>
  </si>
  <si>
    <t>Moiz Sultan</t>
  </si>
  <si>
    <t>Mustafa Sultan</t>
  </si>
  <si>
    <t>42103-2004261-1</t>
  </si>
  <si>
    <t>moiz.sultan.101@example.com</t>
  </si>
  <si>
    <t>0312-3681124</t>
  </si>
  <si>
    <t>Inventory</t>
  </si>
  <si>
    <t>Inventory Officer</t>
  </si>
  <si>
    <t>Emp@INV001#05</t>
  </si>
  <si>
    <t>EMP-INV-002</t>
  </si>
  <si>
    <t>Mustafa Awan</t>
  </si>
  <si>
    <t>Saad Awan</t>
  </si>
  <si>
    <t>37405-2004317-5</t>
  </si>
  <si>
    <t>mustafa.awan.102@example.com</t>
  </si>
  <si>
    <t>0333-6828070</t>
  </si>
  <si>
    <t>Stock Controller</t>
  </si>
  <si>
    <t>Emp@INV002#05</t>
  </si>
  <si>
    <t>PAF-KIET Engineering Faculty</t>
  </si>
  <si>
    <t>DAE</t>
  </si>
  <si>
    <t>EMP-INV-003</t>
  </si>
  <si>
    <t>Hussain Saeed</t>
  </si>
  <si>
    <t>Taha Saeed</t>
  </si>
  <si>
    <t>35202-2004373-9</t>
  </si>
  <si>
    <t>hussain.saeed.103@example.com</t>
  </si>
  <si>
    <t>0322-3603691</t>
  </si>
  <si>
    <t>Inventory Supervisor</t>
  </si>
  <si>
    <t>Emp@INV003#05</t>
  </si>
  <si>
    <t>EMP-INV-004</t>
  </si>
  <si>
    <t>Fahad Latif</t>
  </si>
  <si>
    <t>Muneeb Latif</t>
  </si>
  <si>
    <t>42101-2004429-1</t>
  </si>
  <si>
    <t>fahad.latif.104@example.com</t>
  </si>
  <si>
    <t>0333-5597966</t>
  </si>
  <si>
    <t>Stock Auditor</t>
  </si>
  <si>
    <t>Emp@INV004#05</t>
  </si>
  <si>
    <t>EMP-INV-005</t>
  </si>
  <si>
    <t>Rizwan Khan</t>
  </si>
  <si>
    <t>Moiz Khan</t>
  </si>
  <si>
    <t>35202-2004485-9</t>
  </si>
  <si>
    <t>rizwan.khan.105@example.com</t>
  </si>
  <si>
    <t>0311-4645556</t>
  </si>
  <si>
    <t>Inventory Assistant</t>
  </si>
  <si>
    <t>Emp@INV005#05</t>
  </si>
  <si>
    <t>EMP-INV-006</t>
  </si>
  <si>
    <t>Junaid Hussain</t>
  </si>
  <si>
    <t>35202-2004541-3</t>
  </si>
  <si>
    <t>junaid.hussain.106@example.com</t>
  </si>
  <si>
    <t>0323-9889639</t>
  </si>
  <si>
    <t>Emp@INV006#05</t>
  </si>
  <si>
    <t>EMP-INV-007</t>
  </si>
  <si>
    <t>Rayyan Ansari</t>
  </si>
  <si>
    <t>Imran Ansari</t>
  </si>
  <si>
    <t>61101-2004597-5</t>
  </si>
  <si>
    <t>rayyan.ansari.107@example.com</t>
  </si>
  <si>
    <t>0344-9633204</t>
  </si>
  <si>
    <t>Emp@INV007#05</t>
  </si>
  <si>
    <t>EMP-INV-008</t>
  </si>
  <si>
    <t>Rehan Khalid</t>
  </si>
  <si>
    <t>Faizan Khalid</t>
  </si>
  <si>
    <t>35202-2004653-7</t>
  </si>
  <si>
    <t>rehan.khalid.108@example.com</t>
  </si>
  <si>
    <t>0314-8115854</t>
  </si>
  <si>
    <t>Emp@INV008#05</t>
  </si>
  <si>
    <t>EMP-INV-009</t>
  </si>
  <si>
    <t>Sami Malik</t>
  </si>
  <si>
    <t>Zeeshan Malik</t>
  </si>
  <si>
    <t>42101-2004709-1</t>
  </si>
  <si>
    <t>sami.malik.109@example.com</t>
  </si>
  <si>
    <t>0323-2533653</t>
  </si>
  <si>
    <t>Emp@INV009#05</t>
  </si>
  <si>
    <t>EMP-INV-010</t>
  </si>
  <si>
    <t>Ahmed Farooqui</t>
  </si>
  <si>
    <t>Osama Farooqui</t>
  </si>
  <si>
    <t>61101-2004765-7</t>
  </si>
  <si>
    <t>ahmed.farooqui.110@example.com</t>
  </si>
  <si>
    <t>0313-4533535</t>
  </si>
  <si>
    <t>Emp@INV010#05</t>
  </si>
  <si>
    <t>EMP-INV-011</t>
  </si>
  <si>
    <t>Bilal Syed</t>
  </si>
  <si>
    <t>Umar Syed</t>
  </si>
  <si>
    <t>42102-2004821-5</t>
  </si>
  <si>
    <t>bilal.syed.111@example.com</t>
  </si>
  <si>
    <t>0300-3997622</t>
  </si>
  <si>
    <t>Emp@INV011#05</t>
  </si>
  <si>
    <t>EMP-INV-012</t>
  </si>
  <si>
    <t>Salman Nawaz</t>
  </si>
  <si>
    <t>Adnan Nawaz</t>
  </si>
  <si>
    <t>35202-2004877-5</t>
  </si>
  <si>
    <t>salman.nawaz.112@example.com</t>
  </si>
  <si>
    <t>0344-6767427</t>
  </si>
  <si>
    <t>Emp@INV012#05</t>
  </si>
  <si>
    <t>EMP-INV-013</t>
  </si>
  <si>
    <t>Waqas Butt</t>
  </si>
  <si>
    <t>Talha Butt</t>
  </si>
  <si>
    <t>17301-2004933-1</t>
  </si>
  <si>
    <t>waqas.butt.113@example.com</t>
  </si>
  <si>
    <t>0322-1174045</t>
  </si>
  <si>
    <t>Emp@INV013#05</t>
  </si>
  <si>
    <t>EMP-INV-014</t>
  </si>
  <si>
    <t>Talha Anwar</t>
  </si>
  <si>
    <t>Irfan Anwar</t>
  </si>
  <si>
    <t>17301-2004989-5</t>
  </si>
  <si>
    <t>talha.anwar.114@example.com</t>
  </si>
  <si>
    <t>0314-8591091</t>
  </si>
  <si>
    <t>Emp@INV014#05</t>
  </si>
  <si>
    <t>EMP-INV-015</t>
  </si>
  <si>
    <t>Zeeshan Saleem</t>
  </si>
  <si>
    <t>Qasim Saleem</t>
  </si>
  <si>
    <t>42101-2005045-3</t>
  </si>
  <si>
    <t>zeeshan.saleem.115@example.com</t>
  </si>
  <si>
    <t>0323-9766718</t>
  </si>
  <si>
    <t>Emp@INV015#05</t>
  </si>
  <si>
    <t>EMP-INV-016</t>
  </si>
  <si>
    <t>Moiz Ahmed</t>
  </si>
  <si>
    <t>Danish Ahmed</t>
  </si>
  <si>
    <t>61101-2005101-5</t>
  </si>
  <si>
    <t>moiz.ahmed.116@example.com</t>
  </si>
  <si>
    <t>0303-6440351</t>
  </si>
  <si>
    <t>Emp@INV016#05</t>
  </si>
  <si>
    <t>EMP-INV-017</t>
  </si>
  <si>
    <t>Mustafa Abbasi</t>
  </si>
  <si>
    <t>Waqas Abbasi</t>
  </si>
  <si>
    <t>37405-2005157-3</t>
  </si>
  <si>
    <t>mustafa.abbasi.117@example.com</t>
  </si>
  <si>
    <t>0344-8017882</t>
  </si>
  <si>
    <t>Emp@INV017#05</t>
  </si>
  <si>
    <t>EMP-INV-018</t>
  </si>
  <si>
    <t>Hussain Baig</t>
  </si>
  <si>
    <t>42103-2005213-3</t>
  </si>
  <si>
    <t>hussain.baig.118@example.com</t>
  </si>
  <si>
    <t>0313-6283227</t>
  </si>
  <si>
    <t>Emp@INV018#05</t>
  </si>
  <si>
    <t>EMP-INV-019</t>
  </si>
  <si>
    <t>Fahad Yousuf</t>
  </si>
  <si>
    <t>Ammar Yousuf</t>
  </si>
  <si>
    <t>35202-2005269-5</t>
  </si>
  <si>
    <t>fahad.yousuf.119@example.com</t>
  </si>
  <si>
    <t>0344-9512022</t>
  </si>
  <si>
    <t>Emp@INV019#05</t>
  </si>
  <si>
    <t>EMP-INV-020</t>
  </si>
  <si>
    <t>Rizwan Qureshi</t>
  </si>
  <si>
    <t>Hassan Qureshi</t>
  </si>
  <si>
    <t>37405-2005325-3</t>
  </si>
  <si>
    <t>rizwan.qureshi.120@example.com</t>
  </si>
  <si>
    <t>0321-4708217</t>
  </si>
  <si>
    <t>Emp@INV020#05</t>
  </si>
  <si>
    <t>EMP-INV-021</t>
  </si>
  <si>
    <t>Junaid Javed</t>
  </si>
  <si>
    <t>Salman Javed</t>
  </si>
  <si>
    <t>37405-2005381-7</t>
  </si>
  <si>
    <t>junaid.javed.121@example.com</t>
  </si>
  <si>
    <t>0314-3313427</t>
  </si>
  <si>
    <t>Emp@INV021#05</t>
  </si>
  <si>
    <t>EMP-INV-022</t>
  </si>
  <si>
    <t>Rayyan Tariq</t>
  </si>
  <si>
    <t>Kashif Tariq</t>
  </si>
  <si>
    <t>17301-2005437-9</t>
  </si>
  <si>
    <t>rayyan.tariq.122@example.com</t>
  </si>
  <si>
    <t>0322-9814658</t>
  </si>
  <si>
    <t>Emp@INV022#05</t>
  </si>
  <si>
    <t>EMP-INV-023</t>
  </si>
  <si>
    <t>Rehan Zafar</t>
  </si>
  <si>
    <t>Faisal Zafar</t>
  </si>
  <si>
    <t>61101-2005493-7</t>
  </si>
  <si>
    <t>rehan.zafar.123@example.com</t>
  </si>
  <si>
    <t>0302-4182426</t>
  </si>
  <si>
    <t>Emp@INV023#05</t>
  </si>
  <si>
    <t>EMP-INV-024</t>
  </si>
  <si>
    <t>Sami Mirza</t>
  </si>
  <si>
    <t>Ehsan Mirza</t>
  </si>
  <si>
    <t>42103-2005549-1</t>
  </si>
  <si>
    <t>sami.mirza.124@example.com</t>
  </si>
  <si>
    <t>0314-7717240</t>
  </si>
  <si>
    <t>Emp@INV024#05</t>
  </si>
  <si>
    <t>EMP-INV-025</t>
  </si>
  <si>
    <t>Bilal Niazi</t>
  </si>
  <si>
    <t>35202-2005605-7</t>
  </si>
  <si>
    <t>ahmed.niazi.125@example.com</t>
  </si>
  <si>
    <t>0302-7908433</t>
  </si>
  <si>
    <t>Emp@INV025#05</t>
  </si>
  <si>
    <t>EMP-WH-001</t>
  </si>
  <si>
    <t>Nabeel Rehman</t>
  </si>
  <si>
    <t>Shahzaib Rehman</t>
  </si>
  <si>
    <t>42201-2005287-9</t>
  </si>
  <si>
    <t>nabeel.rehman.126@example.com</t>
  </si>
  <si>
    <t>0313-1193758</t>
  </si>
  <si>
    <t>Warehouse</t>
  </si>
  <si>
    <t>Warehouse Officer</t>
  </si>
  <si>
    <t>Emp@WH001#06</t>
  </si>
  <si>
    <t>EMP-WH-002</t>
  </si>
  <si>
    <t>Dawood Sheikh</t>
  </si>
  <si>
    <t>Haroon Sheikh</t>
  </si>
  <si>
    <t>15101-2005343-3</t>
  </si>
  <si>
    <t>dawood.sheikh.127@example.com</t>
  </si>
  <si>
    <t>0322-8629642</t>
  </si>
  <si>
    <t>Warehouse Supervisor</t>
  </si>
  <si>
    <t>Emp@WH002#06</t>
  </si>
  <si>
    <t>NED University of Engineering &amp; Technology</t>
  </si>
  <si>
    <t>EMP-WH-003</t>
  </si>
  <si>
    <t>Rameez Chaudhry</t>
  </si>
  <si>
    <t>Sufyan Chaudhry</t>
  </si>
  <si>
    <t>37405-2005399-9</t>
  </si>
  <si>
    <t>rameez.chaudhry.128@example.com</t>
  </si>
  <si>
    <t>0314-5508741</t>
  </si>
  <si>
    <t>Store Keeper</t>
  </si>
  <si>
    <t>Emp@WH003#06</t>
  </si>
  <si>
    <t>Skill Development Council Karachi</t>
  </si>
  <si>
    <t>Diploma in Warehouse Management</t>
  </si>
  <si>
    <t>EMP-WH-004</t>
  </si>
  <si>
    <t>Hamza Shah</t>
  </si>
  <si>
    <t>Ahmed Shah</t>
  </si>
  <si>
    <t>42102-2005455-5</t>
  </si>
  <si>
    <t>hamza.shah.129@example.com</t>
  </si>
  <si>
    <t>0323-1893930</t>
  </si>
  <si>
    <t>Picker/Packer</t>
  </si>
  <si>
    <t>Emp@WH004#06</t>
  </si>
  <si>
    <t>Matric</t>
  </si>
  <si>
    <t>EMP-WH-005</t>
  </si>
  <si>
    <t>Kamran Sultan</t>
  </si>
  <si>
    <t>Farhan Sultan</t>
  </si>
  <si>
    <t>42201-2005511-1</t>
  </si>
  <si>
    <t>kamran.sultan.130@example.com</t>
  </si>
  <si>
    <t>0323-3020892</t>
  </si>
  <si>
    <t>Dispatch Assistant</t>
  </si>
  <si>
    <t>Emp@WH005#06</t>
  </si>
  <si>
    <t>EMP-WH-006</t>
  </si>
  <si>
    <t>Arslan Awan</t>
  </si>
  <si>
    <t>Asim Awan</t>
  </si>
  <si>
    <t>42201-2005567-1</t>
  </si>
  <si>
    <t>arslan.awan.131@example.com</t>
  </si>
  <si>
    <t>0302-5429956</t>
  </si>
  <si>
    <t>Emp@WH006#06</t>
  </si>
  <si>
    <t>EMP-WH-007</t>
  </si>
  <si>
    <t>Shoaib Saeed</t>
  </si>
  <si>
    <t>Shayan Saeed</t>
  </si>
  <si>
    <t>42201-2005623-5</t>
  </si>
  <si>
    <t>shoaib.saeed.132@example.com</t>
  </si>
  <si>
    <t>0301-2134142</t>
  </si>
  <si>
    <t>Emp@WH007#06</t>
  </si>
  <si>
    <t>EMP-WH-008</t>
  </si>
  <si>
    <t>Shayan Latif</t>
  </si>
  <si>
    <t>Sami Latif</t>
  </si>
  <si>
    <t>15101-2005679-9</t>
  </si>
  <si>
    <t>shayan.latif.133@example.com</t>
  </si>
  <si>
    <t>0321-4040048</t>
  </si>
  <si>
    <t>Emp@WH008#06</t>
  </si>
  <si>
    <t>EMP-WH-009</t>
  </si>
  <si>
    <t>Sufyan Khan</t>
  </si>
  <si>
    <t>Usman Khan</t>
  </si>
  <si>
    <t>42201-2005735-1</t>
  </si>
  <si>
    <t>sufyan.khan.134@example.com</t>
  </si>
  <si>
    <t>0344-9803835</t>
  </si>
  <si>
    <t>Emp@WH009#06</t>
  </si>
  <si>
    <t>EMP-WH-010</t>
  </si>
  <si>
    <t>Ehsan Hussain</t>
  </si>
  <si>
    <t>Adeel Hussain</t>
  </si>
  <si>
    <t>42101-2005791-1</t>
  </si>
  <si>
    <t>ehsan.hussain.135@example.com</t>
  </si>
  <si>
    <t>0312-7004912</t>
  </si>
  <si>
    <t>Emp@WH010#06</t>
  </si>
  <si>
    <t>EMP-WH-011</t>
  </si>
  <si>
    <t>Hassan Ansari</t>
  </si>
  <si>
    <t>Shoaib Ansari</t>
  </si>
  <si>
    <t>17301-2005847-9</t>
  </si>
  <si>
    <t>hassan.ansari.136@example.com</t>
  </si>
  <si>
    <t>0333-3232767</t>
  </si>
  <si>
    <t>Emp@WH011#06</t>
  </si>
  <si>
    <t>EMP-WH-012</t>
  </si>
  <si>
    <t>Danish Khalid</t>
  </si>
  <si>
    <t>42103-2005903-7</t>
  </si>
  <si>
    <t>danish.khalid.137@example.com</t>
  </si>
  <si>
    <t>0302-8787473</t>
  </si>
  <si>
    <t>Emp@WH012#06</t>
  </si>
  <si>
    <t>EMP-WH-013</t>
  </si>
  <si>
    <t>Adnan Malik</t>
  </si>
  <si>
    <t>Abdul Malik</t>
  </si>
  <si>
    <t>42102-2005959-3</t>
  </si>
  <si>
    <t>adnan.malik.138@example.com</t>
  </si>
  <si>
    <t>0302-9746625</t>
  </si>
  <si>
    <t>Emp@WH013#06</t>
  </si>
  <si>
    <t>EMP-WH-014</t>
  </si>
  <si>
    <t>Faizan Farooqui</t>
  </si>
  <si>
    <t>Zain Farooqui</t>
  </si>
  <si>
    <t>42201-2006015-9</t>
  </si>
  <si>
    <t>faizan.farooqui.139@example.com</t>
  </si>
  <si>
    <t>0303-4606470</t>
  </si>
  <si>
    <t>Emp@WH014#06</t>
  </si>
  <si>
    <t>EMP-WH-015</t>
  </si>
  <si>
    <t>Muneeb Syed</t>
  </si>
  <si>
    <t>Arslan Syed</t>
  </si>
  <si>
    <t>35202-2006071-9</t>
  </si>
  <si>
    <t>muneeb.syed.140@example.com</t>
  </si>
  <si>
    <t>0312-4925281</t>
  </si>
  <si>
    <t>Emp@WH015#06</t>
  </si>
  <si>
    <t>EMP-WH-016</t>
  </si>
  <si>
    <t>Nabeel Nawaz</t>
  </si>
  <si>
    <t>Rayyan Nawaz</t>
  </si>
  <si>
    <t>17301-2006127-7</t>
  </si>
  <si>
    <t>nabeel.nawaz.141@example.com</t>
  </si>
  <si>
    <t>0312-6426094</t>
  </si>
  <si>
    <t>Emp@WH016#06</t>
  </si>
  <si>
    <t>EMP-WH-017</t>
  </si>
  <si>
    <t>Dawood Butt</t>
  </si>
  <si>
    <t>Hammad Butt</t>
  </si>
  <si>
    <t>61101-2006183-9</t>
  </si>
  <si>
    <t>dawood.butt.142@example.com</t>
  </si>
  <si>
    <t>0303-4466099</t>
  </si>
  <si>
    <t>Emp@WH017#06</t>
  </si>
  <si>
    <t>EMP-WH-018</t>
  </si>
  <si>
    <t>Rameez Anwar</t>
  </si>
  <si>
    <t>Ali Anwar</t>
  </si>
  <si>
    <t>61101-2006239-9</t>
  </si>
  <si>
    <t>rameez.anwar.143@example.com</t>
  </si>
  <si>
    <t>0322-2021382</t>
  </si>
  <si>
    <t>Emp@WH018#06</t>
  </si>
  <si>
    <t>EMP-WH-019</t>
  </si>
  <si>
    <t>Kamran Saleem</t>
  </si>
  <si>
    <t>37405-2006295-3</t>
  </si>
  <si>
    <t>hamza.saleem.144@example.com</t>
  </si>
  <si>
    <t>0322-8250321</t>
  </si>
  <si>
    <t>Emp@WH019#06</t>
  </si>
  <si>
    <t>EMP-WH-020</t>
  </si>
  <si>
    <t>Kamran Ahmed</t>
  </si>
  <si>
    <t>Junaid Ahmed</t>
  </si>
  <si>
    <t>35202-2006351-7</t>
  </si>
  <si>
    <t>kamran.ahmed.145@example.com</t>
  </si>
  <si>
    <t>0322-3311340</t>
  </si>
  <si>
    <t>Emp@WH020#06</t>
  </si>
  <si>
    <t>EMP-WH-021</t>
  </si>
  <si>
    <t>Arslan Abbasi</t>
  </si>
  <si>
    <t>Basit Abbasi</t>
  </si>
  <si>
    <t>42103-2006407-3</t>
  </si>
  <si>
    <t>arslan.abbasi.146@example.com</t>
  </si>
  <si>
    <t>0301-9833381</t>
  </si>
  <si>
    <t>Emp@WH021#06</t>
  </si>
  <si>
    <t>EMP-WH-022</t>
  </si>
  <si>
    <t>Shoaib Baig</t>
  </si>
  <si>
    <t>Haris Baig</t>
  </si>
  <si>
    <t>15101-2006463-5</t>
  </si>
  <si>
    <t>shoaib.baig.147@example.com</t>
  </si>
  <si>
    <t>0303-1935472</t>
  </si>
  <si>
    <t>Emp@WH022#06</t>
  </si>
  <si>
    <t>EMP-WH-023</t>
  </si>
  <si>
    <t>Shayan Yousuf</t>
  </si>
  <si>
    <t>Hamza Yousuf</t>
  </si>
  <si>
    <t>42103-2006519-3</t>
  </si>
  <si>
    <t>shayan.yousuf.148@example.com</t>
  </si>
  <si>
    <t>0322-4021490</t>
  </si>
  <si>
    <t>Emp@WH023#06</t>
  </si>
  <si>
    <t>EMP-WH-024</t>
  </si>
  <si>
    <t>Sufyan Qureshi</t>
  </si>
  <si>
    <t>35202-2006575-3</t>
  </si>
  <si>
    <t>sufyan.qureshi.149@example.com</t>
  </si>
  <si>
    <t>0322-5789322</t>
  </si>
  <si>
    <t>Emp@WH024#06</t>
  </si>
  <si>
    <t>EMP-WH-025</t>
  </si>
  <si>
    <t>Ehsan Javed</t>
  </si>
  <si>
    <t>Sameer Javed</t>
  </si>
  <si>
    <t>35202-2006631-1</t>
  </si>
  <si>
    <t>ehsan.javed.150@example.com</t>
  </si>
  <si>
    <t>0314-1735098</t>
  </si>
  <si>
    <t>Emp@WH025#06</t>
  </si>
  <si>
    <t>EMP-LOG-001</t>
  </si>
  <si>
    <t>Abdullah Akhtar</t>
  </si>
  <si>
    <t>Shahid Akhtar</t>
  </si>
  <si>
    <t>37405-2006313-5</t>
  </si>
  <si>
    <t>abdullah.akhtar.151@example.com</t>
  </si>
  <si>
    <t>0302-1429790</t>
  </si>
  <si>
    <t>Logistics</t>
  </si>
  <si>
    <t>Logistics Officer</t>
  </si>
  <si>
    <t>Emp@LOG001#07</t>
  </si>
  <si>
    <t>EMP-LOG-002</t>
  </si>
  <si>
    <t>Shahid Aziz</t>
  </si>
  <si>
    <t>Rameez Aziz</t>
  </si>
  <si>
    <t>61101-2006369-3</t>
  </si>
  <si>
    <t>shahid.aziz.152@example.com</t>
  </si>
  <si>
    <t>0314-2673360</t>
  </si>
  <si>
    <t>Route Planner</t>
  </si>
  <si>
    <t>Emp@LOG002#07</t>
  </si>
  <si>
    <t>Diploma in Logistics</t>
  </si>
  <si>
    <t>EMP-LOG-003</t>
  </si>
  <si>
    <t>Haris Raza</t>
  </si>
  <si>
    <t>Fahad Raza</t>
  </si>
  <si>
    <t>17301-2006425-9</t>
  </si>
  <si>
    <t>haris.raza.153@example.com</t>
  </si>
  <si>
    <t>0301-7483218</t>
  </si>
  <si>
    <t>Fleet Coordinator</t>
  </si>
  <si>
    <t>Emp@LOG003#07</t>
  </si>
  <si>
    <t>TEVTA Training Institute</t>
  </si>
  <si>
    <t>EMP-LOG-004</t>
  </si>
  <si>
    <t>Ali Rizvi</t>
  </si>
  <si>
    <t>Yasir Rizvi</t>
  </si>
  <si>
    <t>42201-2006481-7</t>
  </si>
  <si>
    <t>ali.rizvi.154@example.com</t>
  </si>
  <si>
    <t>0315-9193536</t>
  </si>
  <si>
    <t>Logistics Supervisor</t>
  </si>
  <si>
    <t>Emp@LOG004#07</t>
  </si>
  <si>
    <t>EMP-LOG-005</t>
  </si>
  <si>
    <t>Zain Rehman</t>
  </si>
  <si>
    <t>Abdullah Rehman</t>
  </si>
  <si>
    <t>35202-2006537-7</t>
  </si>
  <si>
    <t>zain.rehman.155@example.com</t>
  </si>
  <si>
    <t>0301-4164822</t>
  </si>
  <si>
    <t>Shipment Coordinator</t>
  </si>
  <si>
    <t>Emp@LOG005#07</t>
  </si>
  <si>
    <t>EMP-LOG-006</t>
  </si>
  <si>
    <t>Adeel Sheikh</t>
  </si>
  <si>
    <t>42201-2006593-5</t>
  </si>
  <si>
    <t>adeel.sheikh.156@example.com</t>
  </si>
  <si>
    <t>0311-7920854</t>
  </si>
  <si>
    <t>Emp@LOG006#07</t>
  </si>
  <si>
    <t>EMP-LOG-007</t>
  </si>
  <si>
    <t>Asim Chaudhry</t>
  </si>
  <si>
    <t>42201-2006649-7</t>
  </si>
  <si>
    <t>asim.chaudhry.157@example.com</t>
  </si>
  <si>
    <t>0344-7126887</t>
  </si>
  <si>
    <t>Emp@LOG007#07</t>
  </si>
  <si>
    <t>EMP-LOG-008</t>
  </si>
  <si>
    <t>Haroon Shah</t>
  </si>
  <si>
    <t>Noman Shah</t>
  </si>
  <si>
    <t>37405-2006705-9</t>
  </si>
  <si>
    <t>haroon.shah.158@example.com</t>
  </si>
  <si>
    <t>0333-9316218</t>
  </si>
  <si>
    <t>Emp@LOG008#07</t>
  </si>
  <si>
    <t>EMP-LOG-009</t>
  </si>
  <si>
    <t>Faisal Sultan</t>
  </si>
  <si>
    <t>Naveed Sultan</t>
  </si>
  <si>
    <t>42201-2006761-7</t>
  </si>
  <si>
    <t>faisal.sultan.159@example.com</t>
  </si>
  <si>
    <t>0344-6778682</t>
  </si>
  <si>
    <t>Emp@LOG009#07</t>
  </si>
  <si>
    <t>EMP-LOG-010</t>
  </si>
  <si>
    <t>Ammar Awan</t>
  </si>
  <si>
    <t>Nabeel Awan</t>
  </si>
  <si>
    <t>42102-2006817-7</t>
  </si>
  <si>
    <t>ammar.awan.160@example.com</t>
  </si>
  <si>
    <t>0303-2075608</t>
  </si>
  <si>
    <t>Emp@LOG010#07</t>
  </si>
  <si>
    <t>EMP-LOG-011</t>
  </si>
  <si>
    <t>Qasim Saeed</t>
  </si>
  <si>
    <t>Mustafa Saeed</t>
  </si>
  <si>
    <t>42101-2006873-9</t>
  </si>
  <si>
    <t>qasim.saeed.161@example.com</t>
  </si>
  <si>
    <t>0303-9298169</t>
  </si>
  <si>
    <t>Emp@LOG011#07</t>
  </si>
  <si>
    <t>EMP-LOG-012</t>
  </si>
  <si>
    <t>Umar Latif</t>
  </si>
  <si>
    <t>Saad Latif</t>
  </si>
  <si>
    <t>35202-2006929-5</t>
  </si>
  <si>
    <t>umar.latif.162@example.com</t>
  </si>
  <si>
    <t>0314-8517456</t>
  </si>
  <si>
    <t>Emp@LOG012#07</t>
  </si>
  <si>
    <t>EMP-LOG-013</t>
  </si>
  <si>
    <t>Imran Khan</t>
  </si>
  <si>
    <t>Taha Khan</t>
  </si>
  <si>
    <t>42101-2006985-1</t>
  </si>
  <si>
    <t>imran.khan.163@example.com</t>
  </si>
  <si>
    <t>0324-6434190</t>
  </si>
  <si>
    <t>Emp@LOG013#07</t>
  </si>
  <si>
    <t>EMP-LOG-014</t>
  </si>
  <si>
    <t>Taha Hussain</t>
  </si>
  <si>
    <t>Muneeb Hussain</t>
  </si>
  <si>
    <t>37405-2007041-5</t>
  </si>
  <si>
    <t>taha.hussain.164@example.com</t>
  </si>
  <si>
    <t>0301-1225210</t>
  </si>
  <si>
    <t>Emp@LOG014#07</t>
  </si>
  <si>
    <t>EMP-LOG-015</t>
  </si>
  <si>
    <t>Naveed Ansari</t>
  </si>
  <si>
    <t>Moiz Ansari</t>
  </si>
  <si>
    <t>37405-2007097-5</t>
  </si>
  <si>
    <t>naveed.ansari.165@example.com</t>
  </si>
  <si>
    <t>0302-2546656</t>
  </si>
  <si>
    <t>Emp@LOG015#07</t>
  </si>
  <si>
    <t>EMP-LOG-016</t>
  </si>
  <si>
    <t>Abdullah Khalid</t>
  </si>
  <si>
    <t>Muhammad Khalid</t>
  </si>
  <si>
    <t>42201-2007153-1</t>
  </si>
  <si>
    <t>abdullah.khalid.166@example.com</t>
  </si>
  <si>
    <t>0312-3036101</t>
  </si>
  <si>
    <t>Emp@LOG016#07</t>
  </si>
  <si>
    <t>EMP-LOG-017</t>
  </si>
  <si>
    <t>Shahid Malik</t>
  </si>
  <si>
    <t>Imran Malik</t>
  </si>
  <si>
    <t>42102-2007209-3</t>
  </si>
  <si>
    <t>shahid.malik.167@example.com</t>
  </si>
  <si>
    <t>0322-8092802</t>
  </si>
  <si>
    <t>Emp@LOG017#07</t>
  </si>
  <si>
    <t>EMP-LOG-018</t>
  </si>
  <si>
    <t>Haris Farooqui</t>
  </si>
  <si>
    <t>61101-2007265-9</t>
  </si>
  <si>
    <t>haris.farooqui.168@example.com</t>
  </si>
  <si>
    <t>0333-5229328</t>
  </si>
  <si>
    <t>Emp@LOG018#07</t>
  </si>
  <si>
    <t>EMP-LOG-019</t>
  </si>
  <si>
    <t>Ali Syed</t>
  </si>
  <si>
    <t>Zeeshan Syed</t>
  </si>
  <si>
    <t>42201-2007321-5</t>
  </si>
  <si>
    <t>ali.syed.169@example.com</t>
  </si>
  <si>
    <t>0333-6152449</t>
  </si>
  <si>
    <t>Emp@LOG019#07</t>
  </si>
  <si>
    <t>EMP-LOG-020</t>
  </si>
  <si>
    <t>Zain Nawaz</t>
  </si>
  <si>
    <t>Osama Nawaz</t>
  </si>
  <si>
    <t>35202-2007377-9</t>
  </si>
  <si>
    <t>zain.nawaz.170@example.com</t>
  </si>
  <si>
    <t>0315-4723544</t>
  </si>
  <si>
    <t>Emp@LOG020#07</t>
  </si>
  <si>
    <t>EMP-LOG-021</t>
  </si>
  <si>
    <t>Adeel Butt</t>
  </si>
  <si>
    <t>Umar Butt</t>
  </si>
  <si>
    <t>17301-2007433-9</t>
  </si>
  <si>
    <t>adeel.butt.171@example.com</t>
  </si>
  <si>
    <t>0311-5806175</t>
  </si>
  <si>
    <t>Emp@LOG021#07</t>
  </si>
  <si>
    <t>EMP-LOG-022</t>
  </si>
  <si>
    <t>Asim Anwar</t>
  </si>
  <si>
    <t>Adnan Anwar</t>
  </si>
  <si>
    <t>42102-2007489-5</t>
  </si>
  <si>
    <t>asim.anwar.172@example.com</t>
  </si>
  <si>
    <t>0300-9072541</t>
  </si>
  <si>
    <t>Emp@LOG022#07</t>
  </si>
  <si>
    <t>EMP-LOG-023</t>
  </si>
  <si>
    <t>Haroon Saleem</t>
  </si>
  <si>
    <t>Talha Saleem</t>
  </si>
  <si>
    <t>17301-2007545-9</t>
  </si>
  <si>
    <t>haroon.saleem.173@example.com</t>
  </si>
  <si>
    <t>0311-2877676</t>
  </si>
  <si>
    <t>Emp@LOG023#07</t>
  </si>
  <si>
    <t>EMP-LOG-024</t>
  </si>
  <si>
    <t>Faisal Ahmed</t>
  </si>
  <si>
    <t>Irfan Ahmed</t>
  </si>
  <si>
    <t>42101-2007601-1</t>
  </si>
  <si>
    <t>faisal.ahmed.174@example.com</t>
  </si>
  <si>
    <t>0322-8478805</t>
  </si>
  <si>
    <t>Emp@LOG024#07</t>
  </si>
  <si>
    <t>EMP-LOG-025</t>
  </si>
  <si>
    <t>Qasim Abbasi</t>
  </si>
  <si>
    <t>42201-2007657-1</t>
  </si>
  <si>
    <t>ammar.abbasi.175@example.com</t>
  </si>
  <si>
    <t>0300-9990785</t>
  </si>
  <si>
    <t>Emp@LOG025#07</t>
  </si>
  <si>
    <t>EMP-DEL-001</t>
  </si>
  <si>
    <t>Sameer Memon</t>
  </si>
  <si>
    <t>37405-2007339-5</t>
  </si>
  <si>
    <t>sameer.memon.176@example.com</t>
  </si>
  <si>
    <t>0323-6702067</t>
  </si>
  <si>
    <t>Delivery</t>
  </si>
  <si>
    <t>Delivery Boy</t>
  </si>
  <si>
    <t>Emp@DEL001#08</t>
  </si>
  <si>
    <t>EMP-DEL-002</t>
  </si>
  <si>
    <t>Basit Ismail</t>
  </si>
  <si>
    <t>Waqas Ismail</t>
  </si>
  <si>
    <t>37405-2007395-7</t>
  </si>
  <si>
    <t>basit.ismail.177@example.com</t>
  </si>
  <si>
    <t>0301-7297044</t>
  </si>
  <si>
    <t>Rider</t>
  </si>
  <si>
    <t>Emp@DEL002#08</t>
  </si>
  <si>
    <t>Diploma in Driving / Delivery Operations</t>
  </si>
  <si>
    <t>EMP-DEL-003</t>
  </si>
  <si>
    <t>Hammad Siddiqui</t>
  </si>
  <si>
    <t>Ahsan Siddiqui</t>
  </si>
  <si>
    <t>42103-2007451-9</t>
  </si>
  <si>
    <t>hammad.siddiqui.178@example.com</t>
  </si>
  <si>
    <t>0324-4402596</t>
  </si>
  <si>
    <t>Delivery Supervisor</t>
  </si>
  <si>
    <t>Emp@DEL003#08</t>
  </si>
  <si>
    <t>EMP-DEL-004</t>
  </si>
  <si>
    <t>Abdul Iqbal</t>
  </si>
  <si>
    <t>Ammar Iqbal</t>
  </si>
  <si>
    <t>15101-2007507-7</t>
  </si>
  <si>
    <t>abdul.iqbal.179@example.com</t>
  </si>
  <si>
    <t>0311-6821211</t>
  </si>
  <si>
    <t>Dispatch Rider</t>
  </si>
  <si>
    <t>Emp@DEL004#08</t>
  </si>
  <si>
    <t>EMP-DEL-005</t>
  </si>
  <si>
    <t>Usman Akhtar</t>
  </si>
  <si>
    <t>Hassan Akhtar</t>
  </si>
  <si>
    <t>15101-2007563-5</t>
  </si>
  <si>
    <t>usman.akhtar.180@example.com</t>
  </si>
  <si>
    <t>0312-6888926</t>
  </si>
  <si>
    <t>Last Mile Courier</t>
  </si>
  <si>
    <t>Emp@DEL005#08</t>
  </si>
  <si>
    <t>EMP-DEL-006</t>
  </si>
  <si>
    <t>Farhan Aziz</t>
  </si>
  <si>
    <t>Salman Aziz</t>
  </si>
  <si>
    <t>15101-2007619-9</t>
  </si>
  <si>
    <t>farhan.aziz.181@example.com</t>
  </si>
  <si>
    <t>0333-7799537</t>
  </si>
  <si>
    <t>Emp@DEL006#08</t>
  </si>
  <si>
    <t>EMP-DEL-007</t>
  </si>
  <si>
    <t>Shahzaib Raza</t>
  </si>
  <si>
    <t>Kashif Raza</t>
  </si>
  <si>
    <t>61101-2007675-9</t>
  </si>
  <si>
    <t>shahzaib.raza.182@example.com</t>
  </si>
  <si>
    <t>0321-2233065</t>
  </si>
  <si>
    <t>Emp@DEL007#08</t>
  </si>
  <si>
    <t>EMP-DEL-008</t>
  </si>
  <si>
    <t>Kashif Rizvi</t>
  </si>
  <si>
    <t>Faisal Rizvi</t>
  </si>
  <si>
    <t>37405-2007731-5</t>
  </si>
  <si>
    <t>kashif.rizvi.183@example.com</t>
  </si>
  <si>
    <t>0323-2858063</t>
  </si>
  <si>
    <t>Emp@DEL008#08</t>
  </si>
  <si>
    <t>EMP-DEL-009</t>
  </si>
  <si>
    <t>Ahsan Rehman</t>
  </si>
  <si>
    <t>Ehsan Rehman</t>
  </si>
  <si>
    <t>42101-2007787-9</t>
  </si>
  <si>
    <t>ahsan.rehman.184@example.com</t>
  </si>
  <si>
    <t>0300-5865868</t>
  </si>
  <si>
    <t>Emp@DEL009#08</t>
  </si>
  <si>
    <t>EMP-DEL-010</t>
  </si>
  <si>
    <t>Irfan Sheikh</t>
  </si>
  <si>
    <t>Bilal Sheikh</t>
  </si>
  <si>
    <t>15101-2007843-9</t>
  </si>
  <si>
    <t>irfan.sheikh.185@example.com</t>
  </si>
  <si>
    <t>0313-6906697</t>
  </si>
  <si>
    <t>Emp@DEL010#08</t>
  </si>
  <si>
    <t>EMP-DEL-011</t>
  </si>
  <si>
    <t>Osama Chaudhry</t>
  </si>
  <si>
    <t>Shahzaib Chaudhry</t>
  </si>
  <si>
    <t>37405-2007899-1</t>
  </si>
  <si>
    <t>osama.chaudhry.186@example.com</t>
  </si>
  <si>
    <t>0302-5613966</t>
  </si>
  <si>
    <t>Emp@DEL011#08</t>
  </si>
  <si>
    <t>EMP-DEL-012</t>
  </si>
  <si>
    <t>Muhammad Shah</t>
  </si>
  <si>
    <t>42102-2007955-1</t>
  </si>
  <si>
    <t>muhammad.shah.187@example.com</t>
  </si>
  <si>
    <t>0322-9537248</t>
  </si>
  <si>
    <t>Emp@DEL012#08</t>
  </si>
  <si>
    <t>EMP-DEL-013</t>
  </si>
  <si>
    <t>Saad Sultan</t>
  </si>
  <si>
    <t>Sufyan Sultan</t>
  </si>
  <si>
    <t>37405-2008011-5</t>
  </si>
  <si>
    <t>saad.sultan.188@example.com</t>
  </si>
  <si>
    <t>0315-9191227</t>
  </si>
  <si>
    <t>Emp@DEL013#08</t>
  </si>
  <si>
    <t>EMP-DEL-014</t>
  </si>
  <si>
    <t>Noman Awan</t>
  </si>
  <si>
    <t>Ahmed Awan</t>
  </si>
  <si>
    <t>42101-2008067-5</t>
  </si>
  <si>
    <t>noman.awan.189@example.com</t>
  </si>
  <si>
    <t>0315-1805437</t>
  </si>
  <si>
    <t>Emp@DEL014#08</t>
  </si>
  <si>
    <t>EMP-DEL-015</t>
  </si>
  <si>
    <t>Yasir Saeed</t>
  </si>
  <si>
    <t>Farhan Saeed</t>
  </si>
  <si>
    <t>42201-2008123-9</t>
  </si>
  <si>
    <t>yasir.saeed.190@example.com</t>
  </si>
  <si>
    <t>0323-8166315</t>
  </si>
  <si>
    <t>Emp@DEL015#08</t>
  </si>
  <si>
    <t>EMP-DEL-016</t>
  </si>
  <si>
    <t>Sameer Latif</t>
  </si>
  <si>
    <t>Asim Latif</t>
  </si>
  <si>
    <t>42101-2008179-7</t>
  </si>
  <si>
    <t>sameer.latif.191@example.com</t>
  </si>
  <si>
    <t>0313-1934678</t>
  </si>
  <si>
    <t>Emp@DEL016#08</t>
  </si>
  <si>
    <t>EMP-DEL-017</t>
  </si>
  <si>
    <t>Basit Khan</t>
  </si>
  <si>
    <t>Shayan Khan</t>
  </si>
  <si>
    <t>61101-2008235-9</t>
  </si>
  <si>
    <t>basit.khan.192@example.com</t>
  </si>
  <si>
    <t>0300-3224559</t>
  </si>
  <si>
    <t>Emp@DEL017#08</t>
  </si>
  <si>
    <t>EMP-DEL-018</t>
  </si>
  <si>
    <t>Hammad Hussain</t>
  </si>
  <si>
    <t>Sami Hussain</t>
  </si>
  <si>
    <t>42102-2008291-7</t>
  </si>
  <si>
    <t>hammad.hussain.193@example.com</t>
  </si>
  <si>
    <t>0300-3861120</t>
  </si>
  <si>
    <t>Emp@DEL018#08</t>
  </si>
  <si>
    <t>EMP-DEL-019</t>
  </si>
  <si>
    <t>Usman Ansari</t>
  </si>
  <si>
    <t>61101-2008347-5</t>
  </si>
  <si>
    <t>abdul.ansari.194@example.com</t>
  </si>
  <si>
    <t>0303-9091760</t>
  </si>
  <si>
    <t>Emp@DEL019#08</t>
  </si>
  <si>
    <t>EMP-DEL-020</t>
  </si>
  <si>
    <t>Usman Khalid</t>
  </si>
  <si>
    <t>Adeel Khalid</t>
  </si>
  <si>
    <t>35202-2008403-3</t>
  </si>
  <si>
    <t>usman.khalid.195@example.com</t>
  </si>
  <si>
    <t>0303-1423324</t>
  </si>
  <si>
    <t>Emp@DEL020#08</t>
  </si>
  <si>
    <t>EMP-DEL-021</t>
  </si>
  <si>
    <t>Farhan Malik</t>
  </si>
  <si>
    <t>Shoaib Malik</t>
  </si>
  <si>
    <t>35202-2008459-5</t>
  </si>
  <si>
    <t>farhan.malik.196@example.com</t>
  </si>
  <si>
    <t>0323-2351330</t>
  </si>
  <si>
    <t>Emp@DEL021#08</t>
  </si>
  <si>
    <t>EMP-DEL-022</t>
  </si>
  <si>
    <t>Shahzaib Farooqui</t>
  </si>
  <si>
    <t>Rehan Farooqui</t>
  </si>
  <si>
    <t>42201-2008515-7</t>
  </si>
  <si>
    <t>shahzaib.farooqui.197@example.com</t>
  </si>
  <si>
    <t>0323-1799614</t>
  </si>
  <si>
    <t>Emp@DEL022#08</t>
  </si>
  <si>
    <t>EMP-DEL-023</t>
  </si>
  <si>
    <t>Kashif Syed</t>
  </si>
  <si>
    <t>Abdul Syed</t>
  </si>
  <si>
    <t>37405-2008571-3</t>
  </si>
  <si>
    <t>kashif.syed.198@example.com</t>
  </si>
  <si>
    <t>0301-6311058</t>
  </si>
  <si>
    <t>Emp@DEL023#08</t>
  </si>
  <si>
    <t>EMP-DEL-024</t>
  </si>
  <si>
    <t>Ahsan Nawaz</t>
  </si>
  <si>
    <t>61101-2008627-5</t>
  </si>
  <si>
    <t>ahsan.nawaz.199@example.com</t>
  </si>
  <si>
    <t>0312-4724506</t>
  </si>
  <si>
    <t>Emp@DEL024#08</t>
  </si>
  <si>
    <t>EMP-DEL-025</t>
  </si>
  <si>
    <t>Irfan Butt</t>
  </si>
  <si>
    <t>Arslan Butt</t>
  </si>
  <si>
    <t>42103-2008683-3</t>
  </si>
  <si>
    <t>irfan.butt.200@example.com</t>
  </si>
  <si>
    <t>0322-2668153</t>
  </si>
  <si>
    <t>Emp@DEL025#08</t>
  </si>
  <si>
    <t>EMP-CS-001</t>
  </si>
  <si>
    <t>Junaid Niazi</t>
  </si>
  <si>
    <t>Rayyan Niazi</t>
  </si>
  <si>
    <t>61101-2008365-3</t>
  </si>
  <si>
    <t>junaid.niazi.201@example.com</t>
  </si>
  <si>
    <t>0322-5971477</t>
  </si>
  <si>
    <t>Customer Support</t>
  </si>
  <si>
    <t>Support Agent</t>
  </si>
  <si>
    <t>Emp@CS001#09</t>
  </si>
  <si>
    <t>EMP-CS-002</t>
  </si>
  <si>
    <t>Rayyan Nadeem</t>
  </si>
  <si>
    <t>Hammad Nadeem</t>
  </si>
  <si>
    <t>42102-2008421-5</t>
  </si>
  <si>
    <t>rayyan.nadeem.202@example.com</t>
  </si>
  <si>
    <t>0302-6684513</t>
  </si>
  <si>
    <t>Customer Care Executive</t>
  </si>
  <si>
    <t>Emp@CS002#09</t>
  </si>
  <si>
    <t>BA</t>
  </si>
  <si>
    <t>EMP-CS-003</t>
  </si>
  <si>
    <t>Rehan Ali</t>
  </si>
  <si>
    <t>Ali Ali</t>
  </si>
  <si>
    <t>37405-2008477-3</t>
  </si>
  <si>
    <t>rehan.ali.203@example.com</t>
  </si>
  <si>
    <t>0324-8707033</t>
  </si>
  <si>
    <t>Ticket Handler</t>
  </si>
  <si>
    <t>Emp@CS003#09</t>
  </si>
  <si>
    <t>EMP-CS-004</t>
  </si>
  <si>
    <t>Sami Hashmi</t>
  </si>
  <si>
    <t>Kamran Hashmi</t>
  </si>
  <si>
    <t>42201-2008533-5</t>
  </si>
  <si>
    <t>sami.hashmi.204@example.com</t>
  </si>
  <si>
    <t>0303-8555085</t>
  </si>
  <si>
    <t>Call Support Officer</t>
  </si>
  <si>
    <t>Emp@CS004#09</t>
  </si>
  <si>
    <t>EMP-CS-005</t>
  </si>
  <si>
    <t>Ahmed Memon</t>
  </si>
  <si>
    <t>Junaid Memon</t>
  </si>
  <si>
    <t>42102-2008589-5</t>
  </si>
  <si>
    <t>ahmed.memon.205@example.com</t>
  </si>
  <si>
    <t>0324-2449525</t>
  </si>
  <si>
    <t>Support Supervisor</t>
  </si>
  <si>
    <t>Emp@CS005#09</t>
  </si>
  <si>
    <t>EMP-CS-006</t>
  </si>
  <si>
    <t>Bilal Ismail</t>
  </si>
  <si>
    <t>61101-2008645-5</t>
  </si>
  <si>
    <t>bilal.ismail.206@example.com</t>
  </si>
  <si>
    <t>0302-3587715</t>
  </si>
  <si>
    <t>Emp@CS006#09</t>
  </si>
  <si>
    <t>EMP-CS-007</t>
  </si>
  <si>
    <t>Salman Siddiqui</t>
  </si>
  <si>
    <t>42103-2008701-9</t>
  </si>
  <si>
    <t>salman.siddiqui.207@example.com</t>
  </si>
  <si>
    <t>0312-3750241</t>
  </si>
  <si>
    <t>Emp@CS007#09</t>
  </si>
  <si>
    <t>EMP-CS-008</t>
  </si>
  <si>
    <t>Waqas Iqbal</t>
  </si>
  <si>
    <t>Hamza Iqbal</t>
  </si>
  <si>
    <t>17301-2008757-5</t>
  </si>
  <si>
    <t>waqas.iqbal.208@example.com</t>
  </si>
  <si>
    <t>0322-3835213</t>
  </si>
  <si>
    <t>Emp@CS008#09</t>
  </si>
  <si>
    <t>EMP-CS-009</t>
  </si>
  <si>
    <t>Talha Akhtar</t>
  </si>
  <si>
    <t>Rizwan Akhtar</t>
  </si>
  <si>
    <t>35202-2008813-3</t>
  </si>
  <si>
    <t>talha.akhtar.209@example.com</t>
  </si>
  <si>
    <t>0324-6833212</t>
  </si>
  <si>
    <t>Emp@CS009#09</t>
  </si>
  <si>
    <t>EMP-CS-010</t>
  </si>
  <si>
    <t>Zeeshan Aziz</t>
  </si>
  <si>
    <t>Sameer Aziz</t>
  </si>
  <si>
    <t>42201-2008869-1</t>
  </si>
  <si>
    <t>zeeshan.aziz.210@example.com</t>
  </si>
  <si>
    <t>0315-9811861</t>
  </si>
  <si>
    <t>Emp@CS010#09</t>
  </si>
  <si>
    <t>EMP-CS-011</t>
  </si>
  <si>
    <t>Moiz Raza</t>
  </si>
  <si>
    <t>Shahid Raza</t>
  </si>
  <si>
    <t>61101-2008925-3</t>
  </si>
  <si>
    <t>moiz.raza.211@example.com</t>
  </si>
  <si>
    <t>0324-2842446</t>
  </si>
  <si>
    <t>Emp@CS011#09</t>
  </si>
  <si>
    <t>EMP-CS-012</t>
  </si>
  <si>
    <t>Mustafa Rizvi</t>
  </si>
  <si>
    <t>Rameez Rizvi</t>
  </si>
  <si>
    <t>42101-2008981-7</t>
  </si>
  <si>
    <t>mustafa.rizvi.212@example.com</t>
  </si>
  <si>
    <t>0312-4152405</t>
  </si>
  <si>
    <t>Emp@CS012#09</t>
  </si>
  <si>
    <t>EMP-CS-013</t>
  </si>
  <si>
    <t>Hussain Rehman</t>
  </si>
  <si>
    <t>Fahad Rehman</t>
  </si>
  <si>
    <t>42201-2009037-1</t>
  </si>
  <si>
    <t>hussain.rehman.213@example.com</t>
  </si>
  <si>
    <t>0321-7836795</t>
  </si>
  <si>
    <t>Emp@CS013#09</t>
  </si>
  <si>
    <t>EMP-CS-014</t>
  </si>
  <si>
    <t>Fahad Sheikh</t>
  </si>
  <si>
    <t>Yasir Sheikh</t>
  </si>
  <si>
    <t>42102-2009093-3</t>
  </si>
  <si>
    <t>fahad.sheikh.214@example.com</t>
  </si>
  <si>
    <t>0323-1093740</t>
  </si>
  <si>
    <t>Emp@CS014#09</t>
  </si>
  <si>
    <t>EMP-CS-015</t>
  </si>
  <si>
    <t>Rizwan Chaudhry</t>
  </si>
  <si>
    <t>Abdullah Chaudhry</t>
  </si>
  <si>
    <t>61101-2009149-9</t>
  </si>
  <si>
    <t>rizwan.chaudhry.215@example.com</t>
  </si>
  <si>
    <t>0300-4988083</t>
  </si>
  <si>
    <t>Emp@CS015#09</t>
  </si>
  <si>
    <t>EMP-CS-016</t>
  </si>
  <si>
    <t>Junaid Shah</t>
  </si>
  <si>
    <t>Dawood Shah</t>
  </si>
  <si>
    <t>35202-2009205-9</t>
  </si>
  <si>
    <t>junaid.shah.216@example.com</t>
  </si>
  <si>
    <t>0301-8279069</t>
  </si>
  <si>
    <t>Emp@CS016#09</t>
  </si>
  <si>
    <t>EMP-CS-017</t>
  </si>
  <si>
    <t>Rayyan Sultan</t>
  </si>
  <si>
    <t>Hussain Sultan</t>
  </si>
  <si>
    <t>42102-2009261-7</t>
  </si>
  <si>
    <t>rayyan.sultan.217@example.com</t>
  </si>
  <si>
    <t>0323-8433091</t>
  </si>
  <si>
    <t>Emp@CS017#09</t>
  </si>
  <si>
    <t>EMP-CS-018</t>
  </si>
  <si>
    <t>Rehan Awan</t>
  </si>
  <si>
    <t>17301-2009317-7</t>
  </si>
  <si>
    <t>rehan.awan.218@example.com</t>
  </si>
  <si>
    <t>0313-3594403</t>
  </si>
  <si>
    <t>Emp@CS018#09</t>
  </si>
  <si>
    <t>EMP-CS-019</t>
  </si>
  <si>
    <t>Sami Saeed</t>
  </si>
  <si>
    <t>Naveed Saeed</t>
  </si>
  <si>
    <t>17301-2009373-3</t>
  </si>
  <si>
    <t>sami.saeed.219@example.com</t>
  </si>
  <si>
    <t>0314-7182349</t>
  </si>
  <si>
    <t>Emp@CS019#09</t>
  </si>
  <si>
    <t>EMP-CS-020</t>
  </si>
  <si>
    <t>Ahmed Latif</t>
  </si>
  <si>
    <t>Nabeel Latif</t>
  </si>
  <si>
    <t>35202-2009429-3</t>
  </si>
  <si>
    <t>ahmed.latif.220@example.com</t>
  </si>
  <si>
    <t>0301-5870839</t>
  </si>
  <si>
    <t>Emp@CS020#09</t>
  </si>
  <si>
    <t>EMP-CS-021</t>
  </si>
  <si>
    <t>Bilal Khan</t>
  </si>
  <si>
    <t>Mustafa Khan</t>
  </si>
  <si>
    <t>42102-2009485-7</t>
  </si>
  <si>
    <t>bilal.khan.221@example.com</t>
  </si>
  <si>
    <t>0300-4242324</t>
  </si>
  <si>
    <t>Emp@CS021#09</t>
  </si>
  <si>
    <t>EMP-CS-022</t>
  </si>
  <si>
    <t>Salman Hussain</t>
  </si>
  <si>
    <t>Saad Hussain</t>
  </si>
  <si>
    <t>42103-2009541-7</t>
  </si>
  <si>
    <t>salman.hussain.222@example.com</t>
  </si>
  <si>
    <t>0303-1199503</t>
  </si>
  <si>
    <t>Emp@CS022#09</t>
  </si>
  <si>
    <t>EMP-CS-023</t>
  </si>
  <si>
    <t>Waqas Ansari</t>
  </si>
  <si>
    <t>Taha Ansari</t>
  </si>
  <si>
    <t>42201-2009597-7</t>
  </si>
  <si>
    <t>waqas.ansari.223@example.com</t>
  </si>
  <si>
    <t>0344-3358130</t>
  </si>
  <si>
    <t>Emp@CS023#09</t>
  </si>
  <si>
    <t>EMP-CS-024</t>
  </si>
  <si>
    <t>Talha Khalid</t>
  </si>
  <si>
    <t>Muneeb Khalid</t>
  </si>
  <si>
    <t>42102-2009653-9</t>
  </si>
  <si>
    <t>talha.khalid.224@example.com</t>
  </si>
  <si>
    <t>0323-5895523</t>
  </si>
  <si>
    <t>Emp@CS024#09</t>
  </si>
  <si>
    <t>EMP-CS-025</t>
  </si>
  <si>
    <t>Moiz Malik</t>
  </si>
  <si>
    <t>35202-2009709-9</t>
  </si>
  <si>
    <t>zeeshan.malik.225@example.com</t>
  </si>
  <si>
    <t>0344-3483444</t>
  </si>
  <si>
    <t>Emp@CS025#09</t>
  </si>
  <si>
    <t>EMP-ACC-001</t>
  </si>
  <si>
    <t>Arslan Javed</t>
  </si>
  <si>
    <t>37405-2009391-1</t>
  </si>
  <si>
    <t>arslan.javed.226@example.com</t>
  </si>
  <si>
    <t>0315-3188416</t>
  </si>
  <si>
    <t>Accounts</t>
  </si>
  <si>
    <t>Accounts Officer</t>
  </si>
  <si>
    <t>Emp@ACC001#10</t>
  </si>
  <si>
    <t>M.Com</t>
  </si>
  <si>
    <t>EMP-ACC-002</t>
  </si>
  <si>
    <t>Shoaib Tariq</t>
  </si>
  <si>
    <t>Imran Tariq</t>
  </si>
  <si>
    <t>61101-2009447-7</t>
  </si>
  <si>
    <t>shoaib.tariq.227@example.com</t>
  </si>
  <si>
    <t>0313-1253433</t>
  </si>
  <si>
    <t>Accounts Assistant</t>
  </si>
  <si>
    <t>Emp@ACC002#10</t>
  </si>
  <si>
    <t>PAC School of Accountancy</t>
  </si>
  <si>
    <t>ACCA Foundation</t>
  </si>
  <si>
    <t>EMP-ACC-003</t>
  </si>
  <si>
    <t>Shayan Zafar</t>
  </si>
  <si>
    <t>Faizan Zafar</t>
  </si>
  <si>
    <t>42201-2009503-9</t>
  </si>
  <si>
    <t>shayan.zafar.228@example.com</t>
  </si>
  <si>
    <t>0313-8596801</t>
  </si>
  <si>
    <t>Payroll Officer</t>
  </si>
  <si>
    <t>Emp@ACC003#10</t>
  </si>
  <si>
    <t>MBA Finance</t>
  </si>
  <si>
    <t>EMP-ACC-004</t>
  </si>
  <si>
    <t>Zeeshan Mirza</t>
  </si>
  <si>
    <t>35202-2009559-5</t>
  </si>
  <si>
    <t>sufyan.mirza.229@example.com</t>
  </si>
  <si>
    <t>0303-1895925</t>
  </si>
  <si>
    <t>Billing Executive</t>
  </si>
  <si>
    <t>Emp@ACC004#10</t>
  </si>
  <si>
    <t>Virtual University Commerce Program</t>
  </si>
  <si>
    <t>EMP-ACC-005</t>
  </si>
  <si>
    <t>Ehsan Niazi</t>
  </si>
  <si>
    <t>Osama Niazi</t>
  </si>
  <si>
    <t>35202-2009615-3</t>
  </si>
  <si>
    <t>ehsan.niazi.230@example.com</t>
  </si>
  <si>
    <t>0301-9480158</t>
  </si>
  <si>
    <t>Receivables Officer</t>
  </si>
  <si>
    <t>Emp@ACC005#10</t>
  </si>
  <si>
    <t>EMP-ACC-006</t>
  </si>
  <si>
    <t>Hassan Nadeem</t>
  </si>
  <si>
    <t>Umar Nadeem</t>
  </si>
  <si>
    <t>35202-2009671-1</t>
  </si>
  <si>
    <t>hassan.nadeem.231@example.com</t>
  </si>
  <si>
    <t>0300-1242836</t>
  </si>
  <si>
    <t>Emp@ACC006#10</t>
  </si>
  <si>
    <t>EMP-ACC-007</t>
  </si>
  <si>
    <t>Danish Ali</t>
  </si>
  <si>
    <t>Adnan Ali</t>
  </si>
  <si>
    <t>17301-2009727-7</t>
  </si>
  <si>
    <t>danish.ali.232@example.com</t>
  </si>
  <si>
    <t>0311-7501681</t>
  </si>
  <si>
    <t>Emp@ACC007#10</t>
  </si>
  <si>
    <t>EMP-ACC-008</t>
  </si>
  <si>
    <t>Adnan Hashmi</t>
  </si>
  <si>
    <t>Talha Hashmi</t>
  </si>
  <si>
    <t>61101-2009783-5</t>
  </si>
  <si>
    <t>adnan.hashmi.233@example.com</t>
  </si>
  <si>
    <t>0300-8077851</t>
  </si>
  <si>
    <t>Emp@ACC008#10</t>
  </si>
  <si>
    <t>EMP-ACC-009</t>
  </si>
  <si>
    <t>Faizan Memon</t>
  </si>
  <si>
    <t>Irfan Memon</t>
  </si>
  <si>
    <t>42101-2009839-5</t>
  </si>
  <si>
    <t>faizan.memon.234@example.com</t>
  </si>
  <si>
    <t>0333-7273011</t>
  </si>
  <si>
    <t>Emp@ACC009#10</t>
  </si>
  <si>
    <t>EMP-ACC-010</t>
  </si>
  <si>
    <t>Muneeb Ismail</t>
  </si>
  <si>
    <t>Qasim Ismail</t>
  </si>
  <si>
    <t>15101-2009895-5</t>
  </si>
  <si>
    <t>muneeb.ismail.235@example.com</t>
  </si>
  <si>
    <t>0312-8129676</t>
  </si>
  <si>
    <t>Emp@ACC010#10</t>
  </si>
  <si>
    <t>EMP-ACC-011</t>
  </si>
  <si>
    <t>Nabeel Siddiqui</t>
  </si>
  <si>
    <t>Danish Siddiqui</t>
  </si>
  <si>
    <t>42101-2009951-9</t>
  </si>
  <si>
    <t>nabeel.siddiqui.236@example.com</t>
  </si>
  <si>
    <t>0300-9713550</t>
  </si>
  <si>
    <t>Emp@ACC011#10</t>
  </si>
  <si>
    <t>EMP-ACC-012</t>
  </si>
  <si>
    <t>Dawood Iqbal</t>
  </si>
  <si>
    <t>61101-2010007-5</t>
  </si>
  <si>
    <t>dawood.iqbal.237@example.com</t>
  </si>
  <si>
    <t>0321-3748709</t>
  </si>
  <si>
    <t>Emp@ACC012#10</t>
  </si>
  <si>
    <t>EMP-ACC-013</t>
  </si>
  <si>
    <t>Rameez Akhtar</t>
  </si>
  <si>
    <t>Ahsan Akhtar</t>
  </si>
  <si>
    <t>17301-2010063-1</t>
  </si>
  <si>
    <t>rameez.akhtar.238@example.com</t>
  </si>
  <si>
    <t>0344-1395784</t>
  </si>
  <si>
    <t>Emp@ACC013#10</t>
  </si>
  <si>
    <t>EMP-ACC-014</t>
  </si>
  <si>
    <t>Hamza Aziz</t>
  </si>
  <si>
    <t>Ammar Aziz</t>
  </si>
  <si>
    <t>42102-2010119-7</t>
  </si>
  <si>
    <t>hamza.aziz.239@example.com</t>
  </si>
  <si>
    <t>0344-9133893</t>
  </si>
  <si>
    <t>Emp@ACC014#10</t>
  </si>
  <si>
    <t>EMP-ACC-015</t>
  </si>
  <si>
    <t>Kamran Raza</t>
  </si>
  <si>
    <t>Hassan Raza</t>
  </si>
  <si>
    <t>61101-2010175-3</t>
  </si>
  <si>
    <t>kamran.raza.240@example.com</t>
  </si>
  <si>
    <t>0314-1943179</t>
  </si>
  <si>
    <t>Emp@ACC015#10</t>
  </si>
  <si>
    <t>EMP-ACC-016</t>
  </si>
  <si>
    <t>Salman Rizvi</t>
  </si>
  <si>
    <t>17301-2010231-7</t>
  </si>
  <si>
    <t>arslan.rizvi.241@example.com</t>
  </si>
  <si>
    <t>0303-2130821</t>
  </si>
  <si>
    <t>Emp@ACC016#10</t>
  </si>
  <si>
    <t>EMP-ACC-017</t>
  </si>
  <si>
    <t>Shoaib Rehman</t>
  </si>
  <si>
    <t>Kashif Rehman</t>
  </si>
  <si>
    <t>42103-2010287-5</t>
  </si>
  <si>
    <t>shoaib.rehman.242@example.com</t>
  </si>
  <si>
    <t>0314-5373869</t>
  </si>
  <si>
    <t>Emp@ACC017#10</t>
  </si>
  <si>
    <t>EMP-ACC-018</t>
  </si>
  <si>
    <t>Shayan Sheikh</t>
  </si>
  <si>
    <t>Faisal Sheikh</t>
  </si>
  <si>
    <t>61101-2010343-1</t>
  </si>
  <si>
    <t>shayan.sheikh.243@example.com</t>
  </si>
  <si>
    <t>0324-9881210</t>
  </si>
  <si>
    <t>Emp@ACC018#10</t>
  </si>
  <si>
    <t>EMP-ACC-019</t>
  </si>
  <si>
    <t>Ehsan Chaudhry</t>
  </si>
  <si>
    <t>42201-2010399-5</t>
  </si>
  <si>
    <t>sufyan.chaudhry.244@example.com</t>
  </si>
  <si>
    <t>0311-4448262</t>
  </si>
  <si>
    <t>Emp@ACC019#10</t>
  </si>
  <si>
    <t>EMP-ACC-020</t>
  </si>
  <si>
    <t>Ehsan Shah</t>
  </si>
  <si>
    <t>Bilal Shah</t>
  </si>
  <si>
    <t>42201-2010455-3</t>
  </si>
  <si>
    <t>ehsan.shah.245@example.com</t>
  </si>
  <si>
    <t>0344-6080432</t>
  </si>
  <si>
    <t>Emp@ACC020#10</t>
  </si>
  <si>
    <t>EMP-ACC-021</t>
  </si>
  <si>
    <t>Hassan Sultan</t>
  </si>
  <si>
    <t>Shahzaib Sultan</t>
  </si>
  <si>
    <t>42101-2010511-5</t>
  </si>
  <si>
    <t>hassan.sultan.246@example.com</t>
  </si>
  <si>
    <t>0301-7459526</t>
  </si>
  <si>
    <t>Emp@ACC021#10</t>
  </si>
  <si>
    <t>EMP-ACC-022</t>
  </si>
  <si>
    <t>Danish Awan</t>
  </si>
  <si>
    <t>Haroon Awan</t>
  </si>
  <si>
    <t>15101-2010567-9</t>
  </si>
  <si>
    <t>danish.awan.247@example.com</t>
  </si>
  <si>
    <t>0315-4709945</t>
  </si>
  <si>
    <t>Emp@ACC022#10</t>
  </si>
  <si>
    <t>EMP-ACC-023</t>
  </si>
  <si>
    <t>Adnan Saeed</t>
  </si>
  <si>
    <t>Sufyan Saeed</t>
  </si>
  <si>
    <t>17301-2010623-7</t>
  </si>
  <si>
    <t>adnan.saeed.248@example.com</t>
  </si>
  <si>
    <t>0302-7694063</t>
  </si>
  <si>
    <t>Emp@ACC023#10</t>
  </si>
  <si>
    <t>EMP-ACC-024</t>
  </si>
  <si>
    <t>Faizan Latif</t>
  </si>
  <si>
    <t>42103-2010679-1</t>
  </si>
  <si>
    <t>faizan.latif.249@example.com</t>
  </si>
  <si>
    <t>0313-5776190</t>
  </si>
  <si>
    <t>Emp@ACC024#10</t>
  </si>
  <si>
    <t>EMP-ACC-025</t>
  </si>
  <si>
    <t>Muneeb Khan</t>
  </si>
  <si>
    <t>Farhan Khan</t>
  </si>
  <si>
    <t>35202-2010735-3</t>
  </si>
  <si>
    <t>muneeb.khan.250@example.com</t>
  </si>
  <si>
    <t>0314-6302285</t>
  </si>
  <si>
    <t>Emp@ACC025#10</t>
  </si>
  <si>
    <t>EMP-FIN-001</t>
  </si>
  <si>
    <t>Adeel Abbasi</t>
  </si>
  <si>
    <t>Asim Abbasi</t>
  </si>
  <si>
    <t>42101-2010417-1</t>
  </si>
  <si>
    <t>adeel.abbasi.251@example.com</t>
  </si>
  <si>
    <t>0324-1854827</t>
  </si>
  <si>
    <t>Finance</t>
  </si>
  <si>
    <t>Finance Officer</t>
  </si>
  <si>
    <t>Emp@FIN001#11</t>
  </si>
  <si>
    <t>EMP-FIN-002</t>
  </si>
  <si>
    <t>Asim Baig</t>
  </si>
  <si>
    <t>Shayan Baig</t>
  </si>
  <si>
    <t>42102-2010473-1</t>
  </si>
  <si>
    <t>asim.baig.252@example.com</t>
  </si>
  <si>
    <t>0322-6660080</t>
  </si>
  <si>
    <t>Financial Analyst</t>
  </si>
  <si>
    <t>Emp@FIN002#11</t>
  </si>
  <si>
    <t>ACCA Pakistan Learning Partner</t>
  </si>
  <si>
    <t>ACCA</t>
  </si>
  <si>
    <t>EMP-FIN-003</t>
  </si>
  <si>
    <t>Haroon Yousuf</t>
  </si>
  <si>
    <t>Sami Yousuf</t>
  </si>
  <si>
    <t>42101-2010529-3</t>
  </si>
  <si>
    <t>haroon.yousuf.253@example.com</t>
  </si>
  <si>
    <t>0323-3998825</t>
  </si>
  <si>
    <t>Budget Assistant</t>
  </si>
  <si>
    <t>Emp@FIN003#11</t>
  </si>
  <si>
    <t>EMP-FIN-004</t>
  </si>
  <si>
    <t>Faisal Qureshi</t>
  </si>
  <si>
    <t>Usman Qureshi</t>
  </si>
  <si>
    <t>42201-2010585-1</t>
  </si>
  <si>
    <t>faisal.qureshi.254@example.com</t>
  </si>
  <si>
    <t>0344-2962280</t>
  </si>
  <si>
    <t>Revenue Analyst</t>
  </si>
  <si>
    <t>Emp@FIN004#11</t>
  </si>
  <si>
    <t>BBA Finance</t>
  </si>
  <si>
    <t>EMP-FIN-005</t>
  </si>
  <si>
    <t>Ammar Javed</t>
  </si>
  <si>
    <t>Adeel Javed</t>
  </si>
  <si>
    <t>37405-2010641-3</t>
  </si>
  <si>
    <t>ammar.javed.255@example.com</t>
  </si>
  <si>
    <t>0311-7751739</t>
  </si>
  <si>
    <t>Finance Manager</t>
  </si>
  <si>
    <t>Emp@FIN005#11</t>
  </si>
  <si>
    <t>EMP-FIN-006</t>
  </si>
  <si>
    <t>Qasim Tariq</t>
  </si>
  <si>
    <t>42102-2010697-5</t>
  </si>
  <si>
    <t>qasim.tariq.256@example.com</t>
  </si>
  <si>
    <t>0313-4905415</t>
  </si>
  <si>
    <t>Emp@FIN006#11</t>
  </si>
  <si>
    <t>EMP-FIN-007</t>
  </si>
  <si>
    <t>Umar Zafar</t>
  </si>
  <si>
    <t>42103-2010753-5</t>
  </si>
  <si>
    <t>umar.zafar.257@example.com</t>
  </si>
  <si>
    <t>0321-9282333</t>
  </si>
  <si>
    <t>Emp@FIN007#11</t>
  </si>
  <si>
    <t>EMP-FIN-008</t>
  </si>
  <si>
    <t>Imran Mirza</t>
  </si>
  <si>
    <t>Abdul Mirza</t>
  </si>
  <si>
    <t>42101-2010809-9</t>
  </si>
  <si>
    <t>imran.mirza.258@example.com</t>
  </si>
  <si>
    <t>0321-1188475</t>
  </si>
  <si>
    <t>Emp@FIN008#11</t>
  </si>
  <si>
    <t>EMP-FIN-009</t>
  </si>
  <si>
    <t>Taha Niazi</t>
  </si>
  <si>
    <t>Zain Niazi</t>
  </si>
  <si>
    <t>37405-2010865-1</t>
  </si>
  <si>
    <t>taha.niazi.259@example.com</t>
  </si>
  <si>
    <t>0315-8910161</t>
  </si>
  <si>
    <t>Emp@FIN009#11</t>
  </si>
  <si>
    <t>EMP-FIN-010</t>
  </si>
  <si>
    <t>Arslan Nadeem</t>
  </si>
  <si>
    <t>42101-2010921-9</t>
  </si>
  <si>
    <t>naveed.nadeem.260@example.com</t>
  </si>
  <si>
    <t>0315-6622819</t>
  </si>
  <si>
    <t>Emp@FIN010#11</t>
  </si>
  <si>
    <t>EMP-FIN-011</t>
  </si>
  <si>
    <t>Abdullah Ali</t>
  </si>
  <si>
    <t>Rayyan Ali</t>
  </si>
  <si>
    <t>42102-2010977-1</t>
  </si>
  <si>
    <t>abdullah.ali.261@example.com</t>
  </si>
  <si>
    <t>0315-1169780</t>
  </si>
  <si>
    <t>Emp@FIN011#11</t>
  </si>
  <si>
    <t>EMP-FIN-012</t>
  </si>
  <si>
    <t>Shahid Hashmi</t>
  </si>
  <si>
    <t>Hammad Hashmi</t>
  </si>
  <si>
    <t>35202-2011033-3</t>
  </si>
  <si>
    <t>shahid.hashmi.262@example.com</t>
  </si>
  <si>
    <t>0302-4194409</t>
  </si>
  <si>
    <t>Emp@FIN012#11</t>
  </si>
  <si>
    <t>EMP-FIN-013</t>
  </si>
  <si>
    <t>Haris Memon</t>
  </si>
  <si>
    <t>Ali Memon</t>
  </si>
  <si>
    <t>37405-2011089-3</t>
  </si>
  <si>
    <t>haris.memon.263@example.com</t>
  </si>
  <si>
    <t>0300-4917553</t>
  </si>
  <si>
    <t>Emp@FIN013#11</t>
  </si>
  <si>
    <t>EMP-FIN-014</t>
  </si>
  <si>
    <t>Ali Ismail</t>
  </si>
  <si>
    <t>Kamran Ismail</t>
  </si>
  <si>
    <t>42201-2011145-1</t>
  </si>
  <si>
    <t>ali.ismail.264@example.com</t>
  </si>
  <si>
    <t>0311-3360660</t>
  </si>
  <si>
    <t>Emp@FIN014#11</t>
  </si>
  <si>
    <t>EMP-FIN-015</t>
  </si>
  <si>
    <t>Zain Siddiqui</t>
  </si>
  <si>
    <t>Junaid Siddiqui</t>
  </si>
  <si>
    <t>42103-2011201-7</t>
  </si>
  <si>
    <t>zain.siddiqui.265@example.com</t>
  </si>
  <si>
    <t>0344-3557420</t>
  </si>
  <si>
    <t>Emp@FIN015#11</t>
  </si>
  <si>
    <t>EMP-FIN-016</t>
  </si>
  <si>
    <t>Adeel Iqbal</t>
  </si>
  <si>
    <t>Basit Iqbal</t>
  </si>
  <si>
    <t>17301-2011257-1</t>
  </si>
  <si>
    <t>adeel.iqbal.266@example.com</t>
  </si>
  <si>
    <t>0323-9119438</t>
  </si>
  <si>
    <t>Emp@FIN016#11</t>
  </si>
  <si>
    <t>EMP-FIN-017</t>
  </si>
  <si>
    <t>Asim Akhtar</t>
  </si>
  <si>
    <t>Haris Akhtar</t>
  </si>
  <si>
    <t>42103-2011313-1</t>
  </si>
  <si>
    <t>asim.akhtar.267@example.com</t>
  </si>
  <si>
    <t>0315-4993731</t>
  </si>
  <si>
    <t>Emp@FIN017#11</t>
  </si>
  <si>
    <t>EMP-FIN-018</t>
  </si>
  <si>
    <t>Haroon Aziz</t>
  </si>
  <si>
    <t>42102-2011369-9</t>
  </si>
  <si>
    <t>haroon.aziz.268@example.com</t>
  </si>
  <si>
    <t>0313-6868684</t>
  </si>
  <si>
    <t>Emp@FIN018#11</t>
  </si>
  <si>
    <t>EMP-FIN-019</t>
  </si>
  <si>
    <t>Faisal Raza</t>
  </si>
  <si>
    <t>Rizwan Raza</t>
  </si>
  <si>
    <t>17301-2011425-9</t>
  </si>
  <si>
    <t>faisal.raza.269@example.com</t>
  </si>
  <si>
    <t>0324-3128845</t>
  </si>
  <si>
    <t>Emp@FIN019#11</t>
  </si>
  <si>
    <t>EMP-FIN-020</t>
  </si>
  <si>
    <t>Ammar Rizvi</t>
  </si>
  <si>
    <t>Sameer Rizvi</t>
  </si>
  <si>
    <t>42101-2011481-3</t>
  </si>
  <si>
    <t>ammar.rizvi.270@example.com</t>
  </si>
  <si>
    <t>0314-1288316</t>
  </si>
  <si>
    <t>Emp@FIN020#11</t>
  </si>
  <si>
    <t>EMP-FIN-021</t>
  </si>
  <si>
    <t>Qasim Rehman</t>
  </si>
  <si>
    <t>Shahid Rehman</t>
  </si>
  <si>
    <t>42102-2011537-3</t>
  </si>
  <si>
    <t>qasim.rehman.271@example.com</t>
  </si>
  <si>
    <t>0324-3456077</t>
  </si>
  <si>
    <t>Emp@FIN021#11</t>
  </si>
  <si>
    <t>EMP-FIN-022</t>
  </si>
  <si>
    <t>Umar Sheikh</t>
  </si>
  <si>
    <t>Rameez Sheikh</t>
  </si>
  <si>
    <t>42101-2011593-3</t>
  </si>
  <si>
    <t>umar.sheikh.272@example.com</t>
  </si>
  <si>
    <t>0344-9008633</t>
  </si>
  <si>
    <t>Emp@FIN022#11</t>
  </si>
  <si>
    <t>EMP-FIN-023</t>
  </si>
  <si>
    <t>Imran Chaudhry</t>
  </si>
  <si>
    <t>Fahad Chaudhry</t>
  </si>
  <si>
    <t>37405-2011649-5</t>
  </si>
  <si>
    <t>imran.chaudhry.273@example.com</t>
  </si>
  <si>
    <t>0324-5765468</t>
  </si>
  <si>
    <t>Emp@FIN023#11</t>
  </si>
  <si>
    <t>EMP-FIN-024</t>
  </si>
  <si>
    <t>Taha Shah</t>
  </si>
  <si>
    <t>Yasir Shah</t>
  </si>
  <si>
    <t>17301-2011705-9</t>
  </si>
  <si>
    <t>taha.shah.274@example.com</t>
  </si>
  <si>
    <t>0302-7117529</t>
  </si>
  <si>
    <t>Emp@FIN024#11</t>
  </si>
  <si>
    <t>EMP-FIN-025</t>
  </si>
  <si>
    <t>Abdullah Sultan</t>
  </si>
  <si>
    <t>37405-2011761-1</t>
  </si>
  <si>
    <t>naveed.sultan.275@example.com</t>
  </si>
  <si>
    <t>0303-1098916</t>
  </si>
  <si>
    <t>Emp@FIN025#11</t>
  </si>
  <si>
    <t>EMP-MKT-001</t>
  </si>
  <si>
    <t>Farhan Butt</t>
  </si>
  <si>
    <t>17301-2011443-7</t>
  </si>
  <si>
    <t>farhan.butt.276@example.com</t>
  </si>
  <si>
    <t>0312-8779461</t>
  </si>
  <si>
    <t>Marketing</t>
  </si>
  <si>
    <t>Marketing Executive</t>
  </si>
  <si>
    <t>Emp@MKT001#12</t>
  </si>
  <si>
    <t>EMP-MKT-002</t>
  </si>
  <si>
    <t>Shahzaib Anwar</t>
  </si>
  <si>
    <t>Hussain Anwar</t>
  </si>
  <si>
    <t>42102-2011499-9</t>
  </si>
  <si>
    <t>shahzaib.anwar.277@example.com</t>
  </si>
  <si>
    <t>0311-7156989</t>
  </si>
  <si>
    <t>SEO Assistant</t>
  </si>
  <si>
    <t>Emp@MKT002#12</t>
  </si>
  <si>
    <t>EMP-MKT-003</t>
  </si>
  <si>
    <t>Kashif Saleem</t>
  </si>
  <si>
    <t>Noman Saleem</t>
  </si>
  <si>
    <t>42201-2011555-7</t>
  </si>
  <si>
    <t>kashif.saleem.278@example.com</t>
  </si>
  <si>
    <t>0311-9285379</t>
  </si>
  <si>
    <t>Social Media Executive</t>
  </si>
  <si>
    <t>Emp@MKT003#12</t>
  </si>
  <si>
    <t>University of Karachi</t>
  </si>
  <si>
    <t>BS Media Studies</t>
  </si>
  <si>
    <t>EMP-MKT-004</t>
  </si>
  <si>
    <t>Naveed Ahmed</t>
  </si>
  <si>
    <t>42102-2011611-1</t>
  </si>
  <si>
    <t>ahsan.ahmed.279@example.com</t>
  </si>
  <si>
    <t>0313-5048442</t>
  </si>
  <si>
    <t>Campaign Coordinator</t>
  </si>
  <si>
    <t>Emp@MKT004#12</t>
  </si>
  <si>
    <t>EMP-MKT-005</t>
  </si>
  <si>
    <t>Irfan Abbasi</t>
  </si>
  <si>
    <t>Nabeel Abbasi</t>
  </si>
  <si>
    <t>15101-2011667-1</t>
  </si>
  <si>
    <t>irfan.abbasi.280@example.com</t>
  </si>
  <si>
    <t>0321-1552728</t>
  </si>
  <si>
    <t>Content Marketer</t>
  </si>
  <si>
    <t>Emp@MKT005#12</t>
  </si>
  <si>
    <t>EMP-MKT-006</t>
  </si>
  <si>
    <t>Osama Baig</t>
  </si>
  <si>
    <t>Mustafa Baig</t>
  </si>
  <si>
    <t>15101-2011723-1</t>
  </si>
  <si>
    <t>osama.baig.281@example.com</t>
  </si>
  <si>
    <t>0324-7725662</t>
  </si>
  <si>
    <t>Emp@MKT006#12</t>
  </si>
  <si>
    <t>EMP-MKT-007</t>
  </si>
  <si>
    <t>Muhammad Yousuf</t>
  </si>
  <si>
    <t>Saad Yousuf</t>
  </si>
  <si>
    <t>61101-2011779-7</t>
  </si>
  <si>
    <t>muhammad.yousuf.282@example.com</t>
  </si>
  <si>
    <t>0324-3053997</t>
  </si>
  <si>
    <t>Emp@MKT007#12</t>
  </si>
  <si>
    <t>EMP-MKT-008</t>
  </si>
  <si>
    <t>Saad Qureshi</t>
  </si>
  <si>
    <t>Taha Qureshi</t>
  </si>
  <si>
    <t>42201-2011835-5</t>
  </si>
  <si>
    <t>saad.qureshi.283@example.com</t>
  </si>
  <si>
    <t>0322-4171774</t>
  </si>
  <si>
    <t>Emp@MKT008#12</t>
  </si>
  <si>
    <t>EMP-MKT-009</t>
  </si>
  <si>
    <t>Noman Javed</t>
  </si>
  <si>
    <t>Muneeb Javed</t>
  </si>
  <si>
    <t>15101-2011891-1</t>
  </si>
  <si>
    <t>noman.javed.284@example.com</t>
  </si>
  <si>
    <t>0311-4786741</t>
  </si>
  <si>
    <t>Emp@MKT009#12</t>
  </si>
  <si>
    <t>EMP-MKT-010</t>
  </si>
  <si>
    <t>Yasir Tariq</t>
  </si>
  <si>
    <t>35202-2011947-3</t>
  </si>
  <si>
    <t>yasir.tariq.285@example.com</t>
  </si>
  <si>
    <t>0315-8946177</t>
  </si>
  <si>
    <t>Emp@MKT010#12</t>
  </si>
  <si>
    <t>EMP-MKT-011</t>
  </si>
  <si>
    <t>Sameer Zafar</t>
  </si>
  <si>
    <t>Muhammad Zafar</t>
  </si>
  <si>
    <t>37405-2012003-1</t>
  </si>
  <si>
    <t>sameer.zafar.286@example.com</t>
  </si>
  <si>
    <t>0302-1593581</t>
  </si>
  <si>
    <t>Emp@MKT011#12</t>
  </si>
  <si>
    <t>EMP-MKT-012</t>
  </si>
  <si>
    <t>Basit Mirza</t>
  </si>
  <si>
    <t>37405-2012059-5</t>
  </si>
  <si>
    <t>basit.mirza.287@example.com</t>
  </si>
  <si>
    <t>0322-4508601</t>
  </si>
  <si>
    <t>Emp@MKT012#12</t>
  </si>
  <si>
    <t>EMP-MKT-013</t>
  </si>
  <si>
    <t>Hammad Niazi</t>
  </si>
  <si>
    <t>Faizan Niazi</t>
  </si>
  <si>
    <t>61101-2012115-9</t>
  </si>
  <si>
    <t>hammad.niazi.288@example.com</t>
  </si>
  <si>
    <t>0314-2023986</t>
  </si>
  <si>
    <t>Emp@MKT013#12</t>
  </si>
  <si>
    <t>EMP-MKT-014</t>
  </si>
  <si>
    <t>Abdul Nadeem</t>
  </si>
  <si>
    <t>Zeeshan Nadeem</t>
  </si>
  <si>
    <t>17301-2012171-7</t>
  </si>
  <si>
    <t>abdul.nadeem.289@example.com</t>
  </si>
  <si>
    <t>0333-9208656</t>
  </si>
  <si>
    <t>Emp@MKT014#12</t>
  </si>
  <si>
    <t>EMP-MKT-015</t>
  </si>
  <si>
    <t>Usman Ali</t>
  </si>
  <si>
    <t>Osama Ali</t>
  </si>
  <si>
    <t>42101-2012227-9</t>
  </si>
  <si>
    <t>usman.ali.290@example.com</t>
  </si>
  <si>
    <t>0324-9591252</t>
  </si>
  <si>
    <t>Emp@MKT015#12</t>
  </si>
  <si>
    <t>EMP-MKT-016</t>
  </si>
  <si>
    <t>Umar Hashmi</t>
  </si>
  <si>
    <t>61101-2012283-3</t>
  </si>
  <si>
    <t>farhan.hashmi.291@example.com</t>
  </si>
  <si>
    <t>0301-1448508</t>
  </si>
  <si>
    <t>Emp@MKT016#12</t>
  </si>
  <si>
    <t>EMP-MKT-017</t>
  </si>
  <si>
    <t>Shahzaib Memon</t>
  </si>
  <si>
    <t>Adnan Memon</t>
  </si>
  <si>
    <t>37405-2012339-5</t>
  </si>
  <si>
    <t>shahzaib.memon.292@example.com</t>
  </si>
  <si>
    <t>0312-9915027</t>
  </si>
  <si>
    <t>Emp@MKT017#12</t>
  </si>
  <si>
    <t>EMP-MKT-018</t>
  </si>
  <si>
    <t>Kashif Ismail</t>
  </si>
  <si>
    <t>Talha Ismail</t>
  </si>
  <si>
    <t>35202-2012395-3</t>
  </si>
  <si>
    <t>kashif.ismail.293@example.com</t>
  </si>
  <si>
    <t>0315-6696098</t>
  </si>
  <si>
    <t>Emp@MKT018#12</t>
  </si>
  <si>
    <t>EMP-MKT-019</t>
  </si>
  <si>
    <t>Irfan Siddiqui</t>
  </si>
  <si>
    <t>42103-2012451-5</t>
  </si>
  <si>
    <t>ahsan.siddiqui.294@example.com</t>
  </si>
  <si>
    <t>0323-3286668</t>
  </si>
  <si>
    <t>Emp@MKT019#12</t>
  </si>
  <si>
    <t>EMP-MKT-020</t>
  </si>
  <si>
    <t>Irfan Iqbal</t>
  </si>
  <si>
    <t>Qasim Iqbal</t>
  </si>
  <si>
    <t>37405-2012507-9</t>
  </si>
  <si>
    <t>irfan.iqbal.295@example.com</t>
  </si>
  <si>
    <t>0302-6696885</t>
  </si>
  <si>
    <t>Emp@MKT020#12</t>
  </si>
  <si>
    <t>EMP-MKT-021</t>
  </si>
  <si>
    <t>Osama Akhtar</t>
  </si>
  <si>
    <t>Danish Akhtar</t>
  </si>
  <si>
    <t>42102-2012563-7</t>
  </si>
  <si>
    <t>osama.akhtar.296@example.com</t>
  </si>
  <si>
    <t>0322-2366338</t>
  </si>
  <si>
    <t>Emp@MKT021#12</t>
  </si>
  <si>
    <t>EMP-MKT-022</t>
  </si>
  <si>
    <t>Muhammad Aziz</t>
  </si>
  <si>
    <t>61101-2012619-9</t>
  </si>
  <si>
    <t>muhammad.aziz.297@example.com</t>
  </si>
  <si>
    <t>0301-1850806</t>
  </si>
  <si>
    <t>Emp@MKT022#12</t>
  </si>
  <si>
    <t>EMP-MKT-023</t>
  </si>
  <si>
    <t>Saad Raza</t>
  </si>
  <si>
    <t>Ahsan Raza</t>
  </si>
  <si>
    <t>37405-2012675-1</t>
  </si>
  <si>
    <t>saad.raza.298@example.com</t>
  </si>
  <si>
    <t>0344-9408238</t>
  </si>
  <si>
    <t>Emp@MKT023#12</t>
  </si>
  <si>
    <t>EMP-MKT-024</t>
  </si>
  <si>
    <t>Noman Rizvi</t>
  </si>
  <si>
    <t>17301-2012731-5</t>
  </si>
  <si>
    <t>noman.rizvi.299@example.com</t>
  </si>
  <si>
    <t>0324-7155396</t>
  </si>
  <si>
    <t>Emp@MKT024#12</t>
  </si>
  <si>
    <t>EMP-MKT-025</t>
  </si>
  <si>
    <t>Yasir Rehman</t>
  </si>
  <si>
    <t>Hassan Rehman</t>
  </si>
  <si>
    <t>17301-2012787-9</t>
  </si>
  <si>
    <t>yasir.rehman.300@example.com</t>
  </si>
  <si>
    <t>0323-6189037</t>
  </si>
  <si>
    <t>Emp@MKT025#12</t>
  </si>
  <si>
    <t>EMP-HR-001</t>
  </si>
  <si>
    <t>Bilal Malik</t>
  </si>
  <si>
    <t>Salman Malik</t>
  </si>
  <si>
    <t>17301-2012469-5</t>
  </si>
  <si>
    <t>bilal.malik.301@example.com</t>
  </si>
  <si>
    <t>0315-1660235</t>
  </si>
  <si>
    <t>Human Resource</t>
  </si>
  <si>
    <t>HR Officer</t>
  </si>
  <si>
    <t>Emp@HR001#13</t>
  </si>
  <si>
    <t>BBA HRM</t>
  </si>
  <si>
    <t>EMP-HR-002</t>
  </si>
  <si>
    <t>Salman Farooqui</t>
  </si>
  <si>
    <t>Kashif Farooqui</t>
  </si>
  <si>
    <t>61101-2012525-3</t>
  </si>
  <si>
    <t>salman.farooqui.302@example.com</t>
  </si>
  <si>
    <t>0302-7831495</t>
  </si>
  <si>
    <t>Recruitment Assistant</t>
  </si>
  <si>
    <t>Emp@HR002#13</t>
  </si>
  <si>
    <t>MBA HRM</t>
  </si>
  <si>
    <t>EMP-HR-003</t>
  </si>
  <si>
    <t>Waqas Syed</t>
  </si>
  <si>
    <t>Faisal Syed</t>
  </si>
  <si>
    <t>15101-2012581-9</t>
  </si>
  <si>
    <t>waqas.syed.303@example.com</t>
  </si>
  <si>
    <t>0322-3175394</t>
  </si>
  <si>
    <t>HR Executive</t>
  </si>
  <si>
    <t>Emp@HR003#13</t>
  </si>
  <si>
    <t>EMP-HR-004</t>
  </si>
  <si>
    <t>Talha Nawaz</t>
  </si>
  <si>
    <t>Ehsan Nawaz</t>
  </si>
  <si>
    <t>17301-2012637-1</t>
  </si>
  <si>
    <t>talha.nawaz.304@example.com</t>
  </si>
  <si>
    <t>0344-3112550</t>
  </si>
  <si>
    <t>Attendance Officer</t>
  </si>
  <si>
    <t>Emp@HR004#13</t>
  </si>
  <si>
    <t>BS Psychology</t>
  </si>
  <si>
    <t>EMP-HR-005</t>
  </si>
  <si>
    <t>Zeeshan Butt</t>
  </si>
  <si>
    <t>Bilal Butt</t>
  </si>
  <si>
    <t>37405-2012693-7</t>
  </si>
  <si>
    <t>zeeshan.butt.305@example.com</t>
  </si>
  <si>
    <t>0315-6839899</t>
  </si>
  <si>
    <t>HR Coordinator</t>
  </si>
  <si>
    <t>Emp@HR005#13</t>
  </si>
  <si>
    <t>EMP-HR-006</t>
  </si>
  <si>
    <t>Moiz Anwar</t>
  </si>
  <si>
    <t>42102-2012749-3</t>
  </si>
  <si>
    <t>moiz.anwar.306@example.com</t>
  </si>
  <si>
    <t>0311-9678195</t>
  </si>
  <si>
    <t>Emp@HR006#13</t>
  </si>
  <si>
    <t>EMP-HR-007</t>
  </si>
  <si>
    <t>Mustafa Saleem</t>
  </si>
  <si>
    <t>37405-2012805-9</t>
  </si>
  <si>
    <t>mustafa.saleem.307@example.com</t>
  </si>
  <si>
    <t>0322-4135924</t>
  </si>
  <si>
    <t>Emp@HR007#13</t>
  </si>
  <si>
    <t>EMP-HR-008</t>
  </si>
  <si>
    <t>Hussain Ahmed</t>
  </si>
  <si>
    <t>Sufyan Ahmed</t>
  </si>
  <si>
    <t>61101-2012861-1</t>
  </si>
  <si>
    <t>hussain.ahmed.308@example.com</t>
  </si>
  <si>
    <t>0315-3453772</t>
  </si>
  <si>
    <t>Emp@HR008#13</t>
  </si>
  <si>
    <t>EMP-HR-009</t>
  </si>
  <si>
    <t>Fahad Abbasi</t>
  </si>
  <si>
    <t>Ahmed Abbasi</t>
  </si>
  <si>
    <t>42102-2012917-9</t>
  </si>
  <si>
    <t>fahad.abbasi.309@example.com</t>
  </si>
  <si>
    <t>0323-5147497</t>
  </si>
  <si>
    <t>Emp@HR009#13</t>
  </si>
  <si>
    <t>EMP-HR-010</t>
  </si>
  <si>
    <t>Farhan Baig</t>
  </si>
  <si>
    <t>42102-2012973-3</t>
  </si>
  <si>
    <t>rizwan.baig.310@example.com</t>
  </si>
  <si>
    <t>0301-3456875</t>
  </si>
  <si>
    <t>Emp@HR010#13</t>
  </si>
  <si>
    <t>EMP-HR-011</t>
  </si>
  <si>
    <t>Junaid Yousuf</t>
  </si>
  <si>
    <t>Asim Yousuf</t>
  </si>
  <si>
    <t>61101-2013029-5</t>
  </si>
  <si>
    <t>junaid.yousuf.311@example.com</t>
  </si>
  <si>
    <t>0302-4710944</t>
  </si>
  <si>
    <t>Emp@HR011#13</t>
  </si>
  <si>
    <t>EMP-HR-012</t>
  </si>
  <si>
    <t>Rayyan Qureshi</t>
  </si>
  <si>
    <t>Shayan Qureshi</t>
  </si>
  <si>
    <t>61101-2013085-3</t>
  </si>
  <si>
    <t>rayyan.qureshi.312@example.com</t>
  </si>
  <si>
    <t>0314-3115045</t>
  </si>
  <si>
    <t>Emp@HR012#13</t>
  </si>
  <si>
    <t>EMP-HR-013</t>
  </si>
  <si>
    <t>Rehan Javed</t>
  </si>
  <si>
    <t>Sami Javed</t>
  </si>
  <si>
    <t>37405-2013141-1</t>
  </si>
  <si>
    <t>rehan.javed.313@example.com</t>
  </si>
  <si>
    <t>0312-6281305</t>
  </si>
  <si>
    <t>Emp@HR013#13</t>
  </si>
  <si>
    <t>EMP-HR-014</t>
  </si>
  <si>
    <t>Sami Tariq</t>
  </si>
  <si>
    <t>Usman Tariq</t>
  </si>
  <si>
    <t>35202-2013197-7</t>
  </si>
  <si>
    <t>sami.tariq.314@example.com</t>
  </si>
  <si>
    <t>0314-3195339</t>
  </si>
  <si>
    <t>Emp@HR014#13</t>
  </si>
  <si>
    <t>EMP-HR-015</t>
  </si>
  <si>
    <t>Ahmed Zafar</t>
  </si>
  <si>
    <t>Adeel Zafar</t>
  </si>
  <si>
    <t>15101-2013253-5</t>
  </si>
  <si>
    <t>ahmed.zafar.315@example.com</t>
  </si>
  <si>
    <t>0313-2112191</t>
  </si>
  <si>
    <t>Emp@HR015#13</t>
  </si>
  <si>
    <t>EMP-HR-016</t>
  </si>
  <si>
    <t>Bilal Mirza</t>
  </si>
  <si>
    <t>42201-2013309-3</t>
  </si>
  <si>
    <t>bilal.mirza.316@example.com</t>
  </si>
  <si>
    <t>0333-7053963</t>
  </si>
  <si>
    <t>Emp@HR016#13</t>
  </si>
  <si>
    <t>EMP-HR-017</t>
  </si>
  <si>
    <t>Salman Niazi</t>
  </si>
  <si>
    <t>Rehan Niazi</t>
  </si>
  <si>
    <t>35202-2013365-1</t>
  </si>
  <si>
    <t>salman.niazi.317@example.com</t>
  </si>
  <si>
    <t>0313-7136853</t>
  </si>
  <si>
    <t>Emp@HR017#13</t>
  </si>
  <si>
    <t>EMP-HR-018</t>
  </si>
  <si>
    <t>Waqas Nadeem</t>
  </si>
  <si>
    <t>42103-2013421-7</t>
  </si>
  <si>
    <t>waqas.nadeem.318@example.com</t>
  </si>
  <si>
    <t>0333-3115684</t>
  </si>
  <si>
    <t>Emp@HR018#13</t>
  </si>
  <si>
    <t>EMP-HR-019</t>
  </si>
  <si>
    <t>Talha Ali</t>
  </si>
  <si>
    <t>Zain Ali</t>
  </si>
  <si>
    <t>15101-2013477-7</t>
  </si>
  <si>
    <t>talha.ali.319@example.com</t>
  </si>
  <si>
    <t>0344-5839306</t>
  </si>
  <si>
    <t>Emp@HR019#13</t>
  </si>
  <si>
    <t>EMP-HR-020</t>
  </si>
  <si>
    <t>Zeeshan Hashmi</t>
  </si>
  <si>
    <t>Arslan Hashmi</t>
  </si>
  <si>
    <t>35202-2013533-5</t>
  </si>
  <si>
    <t>zeeshan.hashmi.320@example.com</t>
  </si>
  <si>
    <t>0303-3019221</t>
  </si>
  <si>
    <t>Emp@HR020#13</t>
  </si>
  <si>
    <t>EMP-HR-021</t>
  </si>
  <si>
    <t>Moiz Memon</t>
  </si>
  <si>
    <t>Rayyan Memon</t>
  </si>
  <si>
    <t>15101-2013589-7</t>
  </si>
  <si>
    <t>moiz.memon.321@example.com</t>
  </si>
  <si>
    <t>0322-1140141</t>
  </si>
  <si>
    <t>Emp@HR021#13</t>
  </si>
  <si>
    <t>EMP-HR-022</t>
  </si>
  <si>
    <t>Mustafa Ismail</t>
  </si>
  <si>
    <t>Hammad Ismail</t>
  </si>
  <si>
    <t>61101-2013645-1</t>
  </si>
  <si>
    <t>mustafa.ismail.322@example.com</t>
  </si>
  <si>
    <t>0324-5644538</t>
  </si>
  <si>
    <t>Emp@HR022#13</t>
  </si>
  <si>
    <t>EMP-HR-023</t>
  </si>
  <si>
    <t>Hussain Siddiqui</t>
  </si>
  <si>
    <t>Ali Siddiqui</t>
  </si>
  <si>
    <t>42201-2013701-9</t>
  </si>
  <si>
    <t>hussain.siddiqui.323@example.com</t>
  </si>
  <si>
    <t>0314-9886141</t>
  </si>
  <si>
    <t>Emp@HR023#13</t>
  </si>
  <si>
    <t>EMP-HR-024</t>
  </si>
  <si>
    <t>Fahad Iqbal</t>
  </si>
  <si>
    <t>Kamran Iqbal</t>
  </si>
  <si>
    <t>42102-2013757-7</t>
  </si>
  <si>
    <t>fahad.iqbal.324@example.com</t>
  </si>
  <si>
    <t>0314-9504424</t>
  </si>
  <si>
    <t>Emp@HR024#13</t>
  </si>
  <si>
    <t>EMP-HR-025</t>
  </si>
  <si>
    <t>Junaid Akhtar</t>
  </si>
  <si>
    <t>35202-2013813-7</t>
  </si>
  <si>
    <t>rizwan.akhtar.325@example.com</t>
  </si>
  <si>
    <t>0324-3925400</t>
  </si>
  <si>
    <t>Emp@HR025#13</t>
  </si>
  <si>
    <t>EMP-IT-001</t>
  </si>
  <si>
    <t>Hassan Khan</t>
  </si>
  <si>
    <t>15101-2013495-3</t>
  </si>
  <si>
    <t>hassan.khan.326@example.com</t>
  </si>
  <si>
    <t>0344-2821663</t>
  </si>
  <si>
    <t>IT Support</t>
  </si>
  <si>
    <t>IT Support Engineer</t>
  </si>
  <si>
    <t>Emp@IT001#14</t>
  </si>
  <si>
    <t>COMSATS University</t>
  </si>
  <si>
    <t>Diploma in IT</t>
  </si>
  <si>
    <t>EMP-IT-002</t>
  </si>
  <si>
    <t>Danish Hussain</t>
  </si>
  <si>
    <t>Haris Hussain</t>
  </si>
  <si>
    <t>42201-2013551-5</t>
  </si>
  <si>
    <t>danish.hussain.327@example.com</t>
  </si>
  <si>
    <t>0303-6541300</t>
  </si>
  <si>
    <t>Helpdesk Technician</t>
  </si>
  <si>
    <t>Emp@IT002#14</t>
  </si>
  <si>
    <t>NED University Computer Science Department</t>
  </si>
  <si>
    <t>BS Software Engineering</t>
  </si>
  <si>
    <t>EMP-IT-003</t>
  </si>
  <si>
    <t>Adnan Ansari</t>
  </si>
  <si>
    <t>Hamza Ansari</t>
  </si>
  <si>
    <t>15101-2013607-5</t>
  </si>
  <si>
    <t>adnan.ansari.328@example.com</t>
  </si>
  <si>
    <t>0313-1086940</t>
  </si>
  <si>
    <t>Laravel Developer</t>
  </si>
  <si>
    <t>Emp@IT003#14</t>
  </si>
  <si>
    <t>DAE IT</t>
  </si>
  <si>
    <t>EMP-IT-004</t>
  </si>
  <si>
    <t>Rizwan Khalid</t>
  </si>
  <si>
    <t>42103-2013663-5</t>
  </si>
  <si>
    <t>faizan.khalid.329@example.com</t>
  </si>
  <si>
    <t>0323-4150650</t>
  </si>
  <si>
    <t>Network Assistant</t>
  </si>
  <si>
    <t>Emp@IT004#14</t>
  </si>
  <si>
    <t>Sir Syed University of Engineering &amp; Technology</t>
  </si>
  <si>
    <t>BS Computer Science</t>
  </si>
  <si>
    <t>EMP-IT-005</t>
  </si>
  <si>
    <t>Muneeb Malik</t>
  </si>
  <si>
    <t>Sameer Malik</t>
  </si>
  <si>
    <t>42102-2013719-9</t>
  </si>
  <si>
    <t>muneeb.malik.330@example.com</t>
  </si>
  <si>
    <t>0302-2933823</t>
  </si>
  <si>
    <t>System Support Officer</t>
  </si>
  <si>
    <t>Emp@IT005#14</t>
  </si>
  <si>
    <t>EMP-IT-006</t>
  </si>
  <si>
    <t>Nabeel Farooqui</t>
  </si>
  <si>
    <t>Shahid Farooqui</t>
  </si>
  <si>
    <t>17301-2013775-9</t>
  </si>
  <si>
    <t>nabeel.farooqui.331@example.com</t>
  </si>
  <si>
    <t>0312-8357042</t>
  </si>
  <si>
    <t>Emp@IT006#14</t>
  </si>
  <si>
    <t>EMP-IT-007</t>
  </si>
  <si>
    <t>Dawood Syed</t>
  </si>
  <si>
    <t>Rameez Syed</t>
  </si>
  <si>
    <t>15101-2013831-7</t>
  </si>
  <si>
    <t>dawood.syed.332@example.com</t>
  </si>
  <si>
    <t>0324-3946151</t>
  </si>
  <si>
    <t>Emp@IT007#14</t>
  </si>
  <si>
    <t>EMP-IT-008</t>
  </si>
  <si>
    <t>Rameez Nawaz</t>
  </si>
  <si>
    <t>Fahad Nawaz</t>
  </si>
  <si>
    <t>15101-2013887-7</t>
  </si>
  <si>
    <t>rameez.nawaz.333@example.com</t>
  </si>
  <si>
    <t>0311-9977081</t>
  </si>
  <si>
    <t>Emp@IT008#14</t>
  </si>
  <si>
    <t>EMP-IT-009</t>
  </si>
  <si>
    <t>Hamza Butt</t>
  </si>
  <si>
    <t>Yasir Butt</t>
  </si>
  <si>
    <t>42201-2013943-7</t>
  </si>
  <si>
    <t>hamza.butt.334@example.com</t>
  </si>
  <si>
    <t>0321-9094958</t>
  </si>
  <si>
    <t>Emp@IT009#14</t>
  </si>
  <si>
    <t>EMP-IT-010</t>
  </si>
  <si>
    <t>Kamran Anwar</t>
  </si>
  <si>
    <t>17301-2013999-9</t>
  </si>
  <si>
    <t>kamran.anwar.335@example.com</t>
  </si>
  <si>
    <t>0344-8982590</t>
  </si>
  <si>
    <t>Emp@IT010#14</t>
  </si>
  <si>
    <t>EMP-IT-011</t>
  </si>
  <si>
    <t>Arslan Saleem</t>
  </si>
  <si>
    <t>Dawood Saleem</t>
  </si>
  <si>
    <t>42101-2014055-3</t>
  </si>
  <si>
    <t>arslan.saleem.336@example.com</t>
  </si>
  <si>
    <t>0314-7703870</t>
  </si>
  <si>
    <t>Emp@IT011#14</t>
  </si>
  <si>
    <t>EMP-IT-012</t>
  </si>
  <si>
    <t>Shoaib Ahmed</t>
  </si>
  <si>
    <t>15101-2014111-7</t>
  </si>
  <si>
    <t>shoaib.ahmed.337@example.com</t>
  </si>
  <si>
    <t>0323-7815165</t>
  </si>
  <si>
    <t>Emp@IT012#14</t>
  </si>
  <si>
    <t>EMP-IT-013</t>
  </si>
  <si>
    <t>Shayan Abbasi</t>
  </si>
  <si>
    <t>Noman Abbasi</t>
  </si>
  <si>
    <t>42201-2014167-3</t>
  </si>
  <si>
    <t>shayan.abbasi.338@example.com</t>
  </si>
  <si>
    <t>0314-4007231</t>
  </si>
  <si>
    <t>Emp@IT013#14</t>
  </si>
  <si>
    <t>EMP-IT-014</t>
  </si>
  <si>
    <t>Sufyan Baig</t>
  </si>
  <si>
    <t>Naveed Baig</t>
  </si>
  <si>
    <t>42101-2014223-5</t>
  </si>
  <si>
    <t>sufyan.baig.339@example.com</t>
  </si>
  <si>
    <t>0314-9380742</t>
  </si>
  <si>
    <t>Emp@IT014#14</t>
  </si>
  <si>
    <t>EMP-IT-015</t>
  </si>
  <si>
    <t>Ehsan Yousuf</t>
  </si>
  <si>
    <t>Nabeel Yousuf</t>
  </si>
  <si>
    <t>42201-2014279-9</t>
  </si>
  <si>
    <t>ehsan.yousuf.340@example.com</t>
  </si>
  <si>
    <t>0300-1854620</t>
  </si>
  <si>
    <t>Emp@IT015#14</t>
  </si>
  <si>
    <t>EMP-IT-016</t>
  </si>
  <si>
    <t>Mustafa Qureshi</t>
  </si>
  <si>
    <t>61101-2014335-9</t>
  </si>
  <si>
    <t>hassan.qureshi.341@example.com</t>
  </si>
  <si>
    <t>0321-8755202</t>
  </si>
  <si>
    <t>Emp@IT016#14</t>
  </si>
  <si>
    <t>EMP-IT-017</t>
  </si>
  <si>
    <t>Danish Javed</t>
  </si>
  <si>
    <t>Saad Javed</t>
  </si>
  <si>
    <t>37405-2014391-7</t>
  </si>
  <si>
    <t>danish.javed.342@example.com</t>
  </si>
  <si>
    <t>0324-9580612</t>
  </si>
  <si>
    <t>Emp@IT017#14</t>
  </si>
  <si>
    <t>EMP-IT-018</t>
  </si>
  <si>
    <t>Adnan Tariq</t>
  </si>
  <si>
    <t>Taha Tariq</t>
  </si>
  <si>
    <t>42103-2014447-9</t>
  </si>
  <si>
    <t>adnan.tariq.343@example.com</t>
  </si>
  <si>
    <t>0333-7833266</t>
  </si>
  <si>
    <t>Emp@IT018#14</t>
  </si>
  <si>
    <t>EMP-IT-019</t>
  </si>
  <si>
    <t>Muneeb Zafar</t>
  </si>
  <si>
    <t>61101-2014503-7</t>
  </si>
  <si>
    <t>faizan.zafar.344@example.com</t>
  </si>
  <si>
    <t>0323-9495896</t>
  </si>
  <si>
    <t>Emp@IT019#14</t>
  </si>
  <si>
    <t>EMP-IT-020</t>
  </si>
  <si>
    <t>Muneeb Mirza</t>
  </si>
  <si>
    <t>Moiz Mirza</t>
  </si>
  <si>
    <t>42102-2014559-5</t>
  </si>
  <si>
    <t>muneeb.mirza.345@example.com</t>
  </si>
  <si>
    <t>0344-6348326</t>
  </si>
  <si>
    <t>Emp@IT020#14</t>
  </si>
  <si>
    <t>EMP-IT-021</t>
  </si>
  <si>
    <t>Nabeel Niazi</t>
  </si>
  <si>
    <t>Muhammad Niazi</t>
  </si>
  <si>
    <t>17301-2014615-5</t>
  </si>
  <si>
    <t>nabeel.niazi.346@example.com</t>
  </si>
  <si>
    <t>0333-2806063</t>
  </si>
  <si>
    <t>Emp@IT021#14</t>
  </si>
  <si>
    <t>EMP-IT-022</t>
  </si>
  <si>
    <t>Dawood Nadeem</t>
  </si>
  <si>
    <t>61101-2014671-7</t>
  </si>
  <si>
    <t>dawood.nadeem.347@example.com</t>
  </si>
  <si>
    <t>0311-4336557</t>
  </si>
  <si>
    <t>Emp@IT022#14</t>
  </si>
  <si>
    <t>EMP-IT-023</t>
  </si>
  <si>
    <t>Rameez Ali</t>
  </si>
  <si>
    <t>Faizan Ali</t>
  </si>
  <si>
    <t>15101-2014727-1</t>
  </si>
  <si>
    <t>rameez.ali.348@example.com</t>
  </si>
  <si>
    <t>0302-9213926</t>
  </si>
  <si>
    <t>Emp@IT023#14</t>
  </si>
  <si>
    <t>EMP-IT-024</t>
  </si>
  <si>
    <t>Hamza Hashmi</t>
  </si>
  <si>
    <t>42102-2014783-7</t>
  </si>
  <si>
    <t>hamza.hashmi.349@example.com</t>
  </si>
  <si>
    <t>0315-6321988</t>
  </si>
  <si>
    <t>Emp@IT024#14</t>
  </si>
  <si>
    <t>EMP-IT-025</t>
  </si>
  <si>
    <t>Kamran Memon</t>
  </si>
  <si>
    <t>Osama Memon</t>
  </si>
  <si>
    <t>42201-2014839-5</t>
  </si>
  <si>
    <t>kamran.memon.350@example.com</t>
  </si>
  <si>
    <t>0315-1071102</t>
  </si>
  <si>
    <t>Emp@IT025#14</t>
  </si>
  <si>
    <t>EMP-PM-001</t>
  </si>
  <si>
    <t>Qasim Sultan</t>
  </si>
  <si>
    <t>Umar Sultan</t>
  </si>
  <si>
    <t>42102-2014521-9</t>
  </si>
  <si>
    <t>qasim.sultan.351@example.com</t>
  </si>
  <si>
    <t>0302-2978301</t>
  </si>
  <si>
    <t>Product Management</t>
  </si>
  <si>
    <t>Product Executive</t>
  </si>
  <si>
    <t>Emp@PM001#15</t>
  </si>
  <si>
    <t>EMP-PM-002</t>
  </si>
  <si>
    <t>Umar Awan</t>
  </si>
  <si>
    <t>Adnan Awan</t>
  </si>
  <si>
    <t>42102-2014577-3</t>
  </si>
  <si>
    <t>umar.awan.352@example.com</t>
  </si>
  <si>
    <t>0312-2156329</t>
  </si>
  <si>
    <t>Catalog Manager</t>
  </si>
  <si>
    <t>Emp@PM002#15</t>
  </si>
  <si>
    <t>EMP-PM-003</t>
  </si>
  <si>
    <t>Imran Saeed</t>
  </si>
  <si>
    <t>Talha Saeed</t>
  </si>
  <si>
    <t>61101-2014633-1</t>
  </si>
  <si>
    <t>imran.saeed.353@example.com</t>
  </si>
  <si>
    <t>0300-3164328</t>
  </si>
  <si>
    <t>Pricing Analyst</t>
  </si>
  <si>
    <t>Emp@PM003#15</t>
  </si>
  <si>
    <t>EMP-PM-004</t>
  </si>
  <si>
    <t>Taha Latif</t>
  </si>
  <si>
    <t>Irfan Latif</t>
  </si>
  <si>
    <t>17301-2014689-3</t>
  </si>
  <si>
    <t>taha.latif.354@example.com</t>
  </si>
  <si>
    <t>0314-1000665</t>
  </si>
  <si>
    <t>Product Listing Officer</t>
  </si>
  <si>
    <t>Emp@PM004#15</t>
  </si>
  <si>
    <t>FAST NUCES</t>
  </si>
  <si>
    <t>EMP-PM-005</t>
  </si>
  <si>
    <t>Naveed Khan</t>
  </si>
  <si>
    <t>Qasim Khan</t>
  </si>
  <si>
    <t>61101-2014745-7</t>
  </si>
  <si>
    <t>naveed.khan.355@example.com</t>
  </si>
  <si>
    <t>0324-6546385</t>
  </si>
  <si>
    <t>Category Associate</t>
  </si>
  <si>
    <t>Emp@PM005#15</t>
  </si>
  <si>
    <t>EMP-PM-006</t>
  </si>
  <si>
    <t>Abdullah Hussain</t>
  </si>
  <si>
    <t>37405-2014801-7</t>
  </si>
  <si>
    <t>abdullah.hussain.356@example.com</t>
  </si>
  <si>
    <t>0324-1789570</t>
  </si>
  <si>
    <t>Emp@PM006#15</t>
  </si>
  <si>
    <t>EMP-PM-007</t>
  </si>
  <si>
    <t>Shahid Ansari</t>
  </si>
  <si>
    <t>17301-2014857-3</t>
  </si>
  <si>
    <t>shahid.ansari.357@example.com</t>
  </si>
  <si>
    <t>0323-6037229</t>
  </si>
  <si>
    <t>Emp@PM007#15</t>
  </si>
  <si>
    <t>EMP-PM-008</t>
  </si>
  <si>
    <t>Haris Khalid</t>
  </si>
  <si>
    <t>Ahsan Khalid</t>
  </si>
  <si>
    <t>42201-2014913-3</t>
  </si>
  <si>
    <t>haris.khalid.358@example.com</t>
  </si>
  <si>
    <t>0314-1581951</t>
  </si>
  <si>
    <t>Emp@PM008#15</t>
  </si>
  <si>
    <t>EMP-PM-009</t>
  </si>
  <si>
    <t>Ali Malik</t>
  </si>
  <si>
    <t>Ammar Malik</t>
  </si>
  <si>
    <t>17301-2014969-7</t>
  </si>
  <si>
    <t>ali.malik.359@example.com</t>
  </si>
  <si>
    <t>0333-5621980</t>
  </si>
  <si>
    <t>Emp@PM009#15</t>
  </si>
  <si>
    <t>EMP-PM-010</t>
  </si>
  <si>
    <t>Hassan Farooqui</t>
  </si>
  <si>
    <t>42201-2015025-9</t>
  </si>
  <si>
    <t>zain.farooqui.360@example.com</t>
  </si>
  <si>
    <t>0311-2281822</t>
  </si>
  <si>
    <t>Emp@PM010#15</t>
  </si>
  <si>
    <t>EMP-PM-011</t>
  </si>
  <si>
    <t>Adeel Syed</t>
  </si>
  <si>
    <t>Salman Syed</t>
  </si>
  <si>
    <t>42101-2015081-7</t>
  </si>
  <si>
    <t>adeel.syed.361@example.com</t>
  </si>
  <si>
    <t>0313-9297367</t>
  </si>
  <si>
    <t>Emp@PM011#15</t>
  </si>
  <si>
    <t>EMP-PM-012</t>
  </si>
  <si>
    <t>Asim Nawaz</t>
  </si>
  <si>
    <t>Kashif Nawaz</t>
  </si>
  <si>
    <t>61101-2015137-5</t>
  </si>
  <si>
    <t>asim.nawaz.362@example.com</t>
  </si>
  <si>
    <t>0315-6676541</t>
  </si>
  <si>
    <t>Emp@PM012#15</t>
  </si>
  <si>
    <t>EMP-PM-013</t>
  </si>
  <si>
    <t>Haroon Butt</t>
  </si>
  <si>
    <t>Faisal Butt</t>
  </si>
  <si>
    <t>17301-2015193-7</t>
  </si>
  <si>
    <t>haroon.butt.363@example.com</t>
  </si>
  <si>
    <t>0321-9790189</t>
  </si>
  <si>
    <t>Emp@PM013#15</t>
  </si>
  <si>
    <t>EMP-PM-014</t>
  </si>
  <si>
    <t>Faisal Anwar</t>
  </si>
  <si>
    <t>Ehsan Anwar</t>
  </si>
  <si>
    <t>42103-2015249-9</t>
  </si>
  <si>
    <t>faisal.anwar.364@example.com</t>
  </si>
  <si>
    <t>0321-3679403</t>
  </si>
  <si>
    <t>Emp@PM014#15</t>
  </si>
  <si>
    <t>EMP-PM-015</t>
  </si>
  <si>
    <t>Ammar Saleem</t>
  </si>
  <si>
    <t>Bilal Saleem</t>
  </si>
  <si>
    <t>35202-2015305-5</t>
  </si>
  <si>
    <t>ammar.saleem.365@example.com</t>
  </si>
  <si>
    <t>0301-7636594</t>
  </si>
  <si>
    <t>Emp@PM015#15</t>
  </si>
  <si>
    <t>EMP-PM-016</t>
  </si>
  <si>
    <t>Qasim Ahmed</t>
  </si>
  <si>
    <t>17301-2015361-3</t>
  </si>
  <si>
    <t>qasim.ahmed.366@example.com</t>
  </si>
  <si>
    <t>0313-1473007</t>
  </si>
  <si>
    <t>Emp@PM016#15</t>
  </si>
  <si>
    <t>EMP-PM-017</t>
  </si>
  <si>
    <t>Umar Abbasi</t>
  </si>
  <si>
    <t>Haroon Abbasi</t>
  </si>
  <si>
    <t>61101-2015417-3</t>
  </si>
  <si>
    <t>umar.abbasi.367@example.com</t>
  </si>
  <si>
    <t>0321-5159351</t>
  </si>
  <si>
    <t>Emp@PM017#15</t>
  </si>
  <si>
    <t>EMP-PM-018</t>
  </si>
  <si>
    <t>Imran Baig</t>
  </si>
  <si>
    <t>42103-2015473-5</t>
  </si>
  <si>
    <t>imran.baig.368@example.com</t>
  </si>
  <si>
    <t>0315-9503586</t>
  </si>
  <si>
    <t>Emp@PM018#15</t>
  </si>
  <si>
    <t>EMP-PM-019</t>
  </si>
  <si>
    <t>Taha Yousuf</t>
  </si>
  <si>
    <t>Ahmed Yousuf</t>
  </si>
  <si>
    <t>42102-2015529-9</t>
  </si>
  <si>
    <t>taha.yousuf.369@example.com</t>
  </si>
  <si>
    <t>0322-3945709</t>
  </si>
  <si>
    <t>Emp@PM019#15</t>
  </si>
  <si>
    <t>EMP-PM-020</t>
  </si>
  <si>
    <t>Naveed Qureshi</t>
  </si>
  <si>
    <t>Farhan Qureshi</t>
  </si>
  <si>
    <t>17301-2015585-1</t>
  </si>
  <si>
    <t>naveed.qureshi.370@example.com</t>
  </si>
  <si>
    <t>0321-6872749</t>
  </si>
  <si>
    <t>Emp@PM020#15</t>
  </si>
  <si>
    <t>EMP-PM-021</t>
  </si>
  <si>
    <t>Abdullah Javed</t>
  </si>
  <si>
    <t>Asim Javed</t>
  </si>
  <si>
    <t>42103-2015641-1</t>
  </si>
  <si>
    <t>abdullah.javed.371@example.com</t>
  </si>
  <si>
    <t>0301-1392562</t>
  </si>
  <si>
    <t>Emp@PM021#15</t>
  </si>
  <si>
    <t>EMP-PM-022</t>
  </si>
  <si>
    <t>Shahid Tariq</t>
  </si>
  <si>
    <t>Shayan Tariq</t>
  </si>
  <si>
    <t>42102-2015697-5</t>
  </si>
  <si>
    <t>shahid.tariq.372@example.com</t>
  </si>
  <si>
    <t>0313-6039951</t>
  </si>
  <si>
    <t>Emp@PM022#15</t>
  </si>
  <si>
    <t>EMP-PM-023</t>
  </si>
  <si>
    <t>Haris Zafar</t>
  </si>
  <si>
    <t>Sami Zafar</t>
  </si>
  <si>
    <t>42103-2015753-1</t>
  </si>
  <si>
    <t>haris.zafar.373@example.com</t>
  </si>
  <si>
    <t>0333-6686230</t>
  </si>
  <si>
    <t>Emp@PM023#15</t>
  </si>
  <si>
    <t>EMP-PM-024</t>
  </si>
  <si>
    <t>Ali Mirza</t>
  </si>
  <si>
    <t>Usman Mirza</t>
  </si>
  <si>
    <t>42201-2015809-7</t>
  </si>
  <si>
    <t>ali.mirza.374@example.com</t>
  </si>
  <si>
    <t>0323-7482082</t>
  </si>
  <si>
    <t>Emp@PM024#15</t>
  </si>
  <si>
    <t>EMP-PM-025</t>
  </si>
  <si>
    <t>Adeel Niazi</t>
  </si>
  <si>
    <t>61101-2015865-5</t>
  </si>
  <si>
    <t>zain.niazi.375@example.com</t>
  </si>
  <si>
    <t>0315-5091164</t>
  </si>
  <si>
    <t>Emp@PM025#15</t>
  </si>
  <si>
    <t>EMP-QC-001</t>
  </si>
  <si>
    <t>42103-2015547-7</t>
  </si>
  <si>
    <t>osama.rehman.376@example.com</t>
  </si>
  <si>
    <t>0312-3446880</t>
  </si>
  <si>
    <t>Quality Control</t>
  </si>
  <si>
    <t>QC Officer</t>
  </si>
  <si>
    <t>Emp@QC001#16</t>
  </si>
  <si>
    <t>Diploma in QA</t>
  </si>
  <si>
    <t>EMP-QC-002</t>
  </si>
  <si>
    <t>Muhammad Sheikh</t>
  </si>
  <si>
    <t>Rehan Sheikh</t>
  </si>
  <si>
    <t>42101-2015603-5</t>
  </si>
  <si>
    <t>muhammad.sheikh.377@example.com</t>
  </si>
  <si>
    <t>0302-8084488</t>
  </si>
  <si>
    <t>Quality Inspector</t>
  </si>
  <si>
    <t>Emp@QC002#16</t>
  </si>
  <si>
    <t>DAE Electronics</t>
  </si>
  <si>
    <t>EMP-QC-003</t>
  </si>
  <si>
    <t>Saad Chaudhry</t>
  </si>
  <si>
    <t>Abdul Chaudhry</t>
  </si>
  <si>
    <t>35202-2015659-5</t>
  </si>
  <si>
    <t>saad.chaudhry.378@example.com</t>
  </si>
  <si>
    <t>0301-3508294</t>
  </si>
  <si>
    <t>Testing Assistant</t>
  </si>
  <si>
    <t>Emp@QC003#16</t>
  </si>
  <si>
    <t>EMP-QC-004</t>
  </si>
  <si>
    <t>Zain Shah</t>
  </si>
  <si>
    <t>42103-2015715-3</t>
  </si>
  <si>
    <t>noman.shah.379@example.com</t>
  </si>
  <si>
    <t>0312-5615732</t>
  </si>
  <si>
    <t>QC Supervisor</t>
  </si>
  <si>
    <t>Emp@QC004#16</t>
  </si>
  <si>
    <t>BS Quality Management</t>
  </si>
  <si>
    <t>EMP-QC-005</t>
  </si>
  <si>
    <t>Yasir Sultan</t>
  </si>
  <si>
    <t>Arslan Sultan</t>
  </si>
  <si>
    <t>42201-2015771-3</t>
  </si>
  <si>
    <t>yasir.sultan.380@example.com</t>
  </si>
  <si>
    <t>0333-7524852</t>
  </si>
  <si>
    <t>Return Checker</t>
  </si>
  <si>
    <t>Emp@QC005#16</t>
  </si>
  <si>
    <t>EMP-QC-006</t>
  </si>
  <si>
    <t>Sameer Awan</t>
  </si>
  <si>
    <t>Rayyan Awan</t>
  </si>
  <si>
    <t>17301-2015827-1</t>
  </si>
  <si>
    <t>sameer.awan.381@example.com</t>
  </si>
  <si>
    <t>0324-2319130</t>
  </si>
  <si>
    <t>Emp@QC006#16</t>
  </si>
  <si>
    <t>EMP-QC-007</t>
  </si>
  <si>
    <t>Basit Saeed</t>
  </si>
  <si>
    <t>Hammad Saeed</t>
  </si>
  <si>
    <t>61101-2015883-1</t>
  </si>
  <si>
    <t>basit.saeed.382@example.com</t>
  </si>
  <si>
    <t>0323-8604329</t>
  </si>
  <si>
    <t>Emp@QC007#16</t>
  </si>
  <si>
    <t>EMP-QC-008</t>
  </si>
  <si>
    <t>Hammad Latif</t>
  </si>
  <si>
    <t>Ali Latif</t>
  </si>
  <si>
    <t>42201-2015939-7</t>
  </si>
  <si>
    <t>hammad.latif.383@example.com</t>
  </si>
  <si>
    <t>0315-3084086</t>
  </si>
  <si>
    <t>Emp@QC008#16</t>
  </si>
  <si>
    <t>EMP-QC-009</t>
  </si>
  <si>
    <t>Abdul Khan</t>
  </si>
  <si>
    <t>Kamran Khan</t>
  </si>
  <si>
    <t>42103-2015995-7</t>
  </si>
  <si>
    <t>abdul.khan.384@example.com</t>
  </si>
  <si>
    <t>0344-3466298</t>
  </si>
  <si>
    <t>Emp@QC009#16</t>
  </si>
  <si>
    <t>EMP-QC-010</t>
  </si>
  <si>
    <t>Usman Hussain</t>
  </si>
  <si>
    <t>42201-2016051-5</t>
  </si>
  <si>
    <t>usman.hussain.385@example.com</t>
  </si>
  <si>
    <t>0344-7446817</t>
  </si>
  <si>
    <t>Emp@QC010#16</t>
  </si>
  <si>
    <t>EMP-QC-011</t>
  </si>
  <si>
    <t>Farhan Ansari</t>
  </si>
  <si>
    <t>Basit Ansari</t>
  </si>
  <si>
    <t>61101-2016107-3</t>
  </si>
  <si>
    <t>farhan.ansari.386@example.com</t>
  </si>
  <si>
    <t>0303-8463850</t>
  </si>
  <si>
    <t>Emp@QC011#16</t>
  </si>
  <si>
    <t>EMP-QC-012</t>
  </si>
  <si>
    <t>Shahzaib Khalid</t>
  </si>
  <si>
    <t>42201-2016163-9</t>
  </si>
  <si>
    <t>shahzaib.khalid.387@example.com</t>
  </si>
  <si>
    <t>0323-2446392</t>
  </si>
  <si>
    <t>Emp@QC012#16</t>
  </si>
  <si>
    <t>EMP-QC-013</t>
  </si>
  <si>
    <t>Kashif Malik</t>
  </si>
  <si>
    <t>Hamza Malik</t>
  </si>
  <si>
    <t>42101-2016219-5</t>
  </si>
  <si>
    <t>kashif.malik.388@example.com</t>
  </si>
  <si>
    <t>0311-9029033</t>
  </si>
  <si>
    <t>Emp@QC013#16</t>
  </si>
  <si>
    <t>EMP-QC-014</t>
  </si>
  <si>
    <t>Ahsan Farooqui</t>
  </si>
  <si>
    <t>Rizwan Farooqui</t>
  </si>
  <si>
    <t>37405-2016275-9</t>
  </si>
  <si>
    <t>ahsan.farooqui.389@example.com</t>
  </si>
  <si>
    <t>0344-6966594</t>
  </si>
  <si>
    <t>Emp@QC014#16</t>
  </si>
  <si>
    <t>EMP-QC-015</t>
  </si>
  <si>
    <t>Irfan Syed</t>
  </si>
  <si>
    <t>Sameer Syed</t>
  </si>
  <si>
    <t>42102-2016331-1</t>
  </si>
  <si>
    <t>irfan.syed.390@example.com</t>
  </si>
  <si>
    <t>0323-2116332</t>
  </si>
  <si>
    <t>Emp@QC015#16</t>
  </si>
  <si>
    <t>EMP-QC-016</t>
  </si>
  <si>
    <t>Shahid Nawaz</t>
  </si>
  <si>
    <t>35202-2016387-7</t>
  </si>
  <si>
    <t>osama.nawaz.391@example.com</t>
  </si>
  <si>
    <t>0333-4895252</t>
  </si>
  <si>
    <t>Emp@QC016#16</t>
  </si>
  <si>
    <t>EMP-QC-017</t>
  </si>
  <si>
    <t>Muhammad Butt</t>
  </si>
  <si>
    <t>Rameez Butt</t>
  </si>
  <si>
    <t>42103-2016443-5</t>
  </si>
  <si>
    <t>muhammad.butt.392@example.com</t>
  </si>
  <si>
    <t>0333-1013162</t>
  </si>
  <si>
    <t>Emp@QC017#16</t>
  </si>
  <si>
    <t>EMP-QC-018</t>
  </si>
  <si>
    <t>Saad Anwar</t>
  </si>
  <si>
    <t>Fahad Anwar</t>
  </si>
  <si>
    <t>35202-2016499-3</t>
  </si>
  <si>
    <t>saad.anwar.393@example.com</t>
  </si>
  <si>
    <t>0315-1463608</t>
  </si>
  <si>
    <t>Emp@QC018#16</t>
  </si>
  <si>
    <t>EMP-QC-019</t>
  </si>
  <si>
    <t>Yasir Saleem</t>
  </si>
  <si>
    <t>17301-2016555-7</t>
  </si>
  <si>
    <t>noman.saleem.394@example.com</t>
  </si>
  <si>
    <t>0333-2134601</t>
  </si>
  <si>
    <t>Emp@QC019#16</t>
  </si>
  <si>
    <t>EMP-QC-020</t>
  </si>
  <si>
    <t>Yasir Ahmed</t>
  </si>
  <si>
    <t>Abdullah Ahmed</t>
  </si>
  <si>
    <t>42101-2016611-9</t>
  </si>
  <si>
    <t>yasir.ahmed.395@example.com</t>
  </si>
  <si>
    <t>0314-9368769</t>
  </si>
  <si>
    <t>Emp@QC020#16</t>
  </si>
  <si>
    <t>EMP-QC-021</t>
  </si>
  <si>
    <t>Dawood Abbasi</t>
  </si>
  <si>
    <t>35202-2016667-9</t>
  </si>
  <si>
    <t>sameer.abbasi.396@example.com</t>
  </si>
  <si>
    <t>0311-4334170</t>
  </si>
  <si>
    <t>Emp@QC021#16</t>
  </si>
  <si>
    <t>EMP-QC-022</t>
  </si>
  <si>
    <t>Basit Baig</t>
  </si>
  <si>
    <t>42102-2016723-3</t>
  </si>
  <si>
    <t>basit.baig.397@example.com</t>
  </si>
  <si>
    <t>0303-1838112</t>
  </si>
  <si>
    <t>Emp@QC022#16</t>
  </si>
  <si>
    <t>EMP-QC-023</t>
  </si>
  <si>
    <t>Hammad Yousuf</t>
  </si>
  <si>
    <t>Noman Yousuf</t>
  </si>
  <si>
    <t>42103-2016779-5</t>
  </si>
  <si>
    <t>hammad.yousuf.398@example.com</t>
  </si>
  <si>
    <t>0333-5296752</t>
  </si>
  <si>
    <t>Emp@QC023#16</t>
  </si>
  <si>
    <t>EMP-QC-024</t>
  </si>
  <si>
    <t>Abdul Qureshi</t>
  </si>
  <si>
    <t>35202-2016835-9</t>
  </si>
  <si>
    <t>abdul.qureshi.399@example.com</t>
  </si>
  <si>
    <t>0333-6290316</t>
  </si>
  <si>
    <t>Emp@QC024#16</t>
  </si>
  <si>
    <t>EMP-QC-025</t>
  </si>
  <si>
    <t>Usman Javed</t>
  </si>
  <si>
    <t>Nabeel Javed</t>
  </si>
  <si>
    <t>37405-2016891-9</t>
  </si>
  <si>
    <t>usman.javed.400@example.com</t>
  </si>
  <si>
    <t>0312-3413010</t>
  </si>
  <si>
    <t>Emp@QC025#16</t>
  </si>
  <si>
    <t>EMP-RR-001</t>
  </si>
  <si>
    <t>Moiz Akhtar</t>
  </si>
  <si>
    <t>Mustafa Akhtar</t>
  </si>
  <si>
    <t>35202-2016573-3</t>
  </si>
  <si>
    <t>moiz.akhtar.401@example.com</t>
  </si>
  <si>
    <t>0313-7127033</t>
  </si>
  <si>
    <t>Returns and Refunds</t>
  </si>
  <si>
    <t>Returns Officer</t>
  </si>
  <si>
    <t>Emp@RR001#17</t>
  </si>
  <si>
    <t>EMP-RR-002</t>
  </si>
  <si>
    <t>Mustafa Aziz</t>
  </si>
  <si>
    <t>Saad Aziz</t>
  </si>
  <si>
    <t>61101-2016629-5</t>
  </si>
  <si>
    <t>mustafa.aziz.402@example.com</t>
  </si>
  <si>
    <t>0315-2462403</t>
  </si>
  <si>
    <t>Refund Executive</t>
  </si>
  <si>
    <t>Emp@RR002#17</t>
  </si>
  <si>
    <t>EMP-RR-003</t>
  </si>
  <si>
    <t>Hussain Raza</t>
  </si>
  <si>
    <t>Taha Raza</t>
  </si>
  <si>
    <t>37405-2016685-7</t>
  </si>
  <si>
    <t>hussain.raza.403@example.com</t>
  </si>
  <si>
    <t>0313-2718921</t>
  </si>
  <si>
    <t>RMA Coordinator</t>
  </si>
  <si>
    <t>Emp@RR003#17</t>
  </si>
  <si>
    <t>EMP-RR-004</t>
  </si>
  <si>
    <t>Fahad Rizvi</t>
  </si>
  <si>
    <t>Muneeb Rizvi</t>
  </si>
  <si>
    <t>42103-2016741-1</t>
  </si>
  <si>
    <t>fahad.rizvi.404@example.com</t>
  </si>
  <si>
    <t>0322-3156814</t>
  </si>
  <si>
    <t>Claims Assistant</t>
  </si>
  <si>
    <t>Emp@RR004#17</t>
  </si>
  <si>
    <t>Shaheed Zulfikar Ali Bhutto Institute of Science and Technology</t>
  </si>
  <si>
    <t>Diploma in Customer Service</t>
  </si>
  <si>
    <t>EMP-RR-005</t>
  </si>
  <si>
    <t>Rizwan Rehman</t>
  </si>
  <si>
    <t>42102-2016797-1</t>
  </si>
  <si>
    <t>rizwan.rehman.405@example.com</t>
  </si>
  <si>
    <t>0324-9567930</t>
  </si>
  <si>
    <t>Returns Supervisor</t>
  </si>
  <si>
    <t>Emp@RR005#17</t>
  </si>
  <si>
    <t>EMP-RR-006</t>
  </si>
  <si>
    <t>Junaid Sheikh</t>
  </si>
  <si>
    <t>42102-2016853-7</t>
  </si>
  <si>
    <t>junaid.sheikh.406@example.com</t>
  </si>
  <si>
    <t>0315-2875677</t>
  </si>
  <si>
    <t>Emp@RR006#17</t>
  </si>
  <si>
    <t>EMP-RR-007</t>
  </si>
  <si>
    <t>Rayyan Chaudhry</t>
  </si>
  <si>
    <t>42201-2016909-5</t>
  </si>
  <si>
    <t>rayyan.chaudhry.407@example.com</t>
  </si>
  <si>
    <t>0302-4857632</t>
  </si>
  <si>
    <t>Emp@RR007#17</t>
  </si>
  <si>
    <t>EMP-RR-008</t>
  </si>
  <si>
    <t>Rehan Shah</t>
  </si>
  <si>
    <t>Faizan Shah</t>
  </si>
  <si>
    <t>42103-2016965-3</t>
  </si>
  <si>
    <t>rehan.shah.408@example.com</t>
  </si>
  <si>
    <t>0323-2393233</t>
  </si>
  <si>
    <t>Emp@RR008#17</t>
  </si>
  <si>
    <t>EMP-RR-009</t>
  </si>
  <si>
    <t>Sami Sultan</t>
  </si>
  <si>
    <t>Zeeshan Sultan</t>
  </si>
  <si>
    <t>42101-2017021-1</t>
  </si>
  <si>
    <t>sami.sultan.409@example.com</t>
  </si>
  <si>
    <t>0344-8411200</t>
  </si>
  <si>
    <t>Emp@RR009#17</t>
  </si>
  <si>
    <t>EMP-RR-010</t>
  </si>
  <si>
    <t>Osama Awan</t>
  </si>
  <si>
    <t>42201-2017077-5</t>
  </si>
  <si>
    <t>ahmed.awan.410@example.com</t>
  </si>
  <si>
    <t>0323-1433288</t>
  </si>
  <si>
    <t>Emp@RR010#17</t>
  </si>
  <si>
    <t>EMP-RR-011</t>
  </si>
  <si>
    <t>Bilal Saeed</t>
  </si>
  <si>
    <t>Umar Saeed</t>
  </si>
  <si>
    <t>42101-2017133-9</t>
  </si>
  <si>
    <t>bilal.saeed.411@example.com</t>
  </si>
  <si>
    <t>0303-4136100</t>
  </si>
  <si>
    <t>Emp@RR011#17</t>
  </si>
  <si>
    <t>EMP-RR-012</t>
  </si>
  <si>
    <t>Salman Latif</t>
  </si>
  <si>
    <t>Adnan Latif</t>
  </si>
  <si>
    <t>15101-2017189-5</t>
  </si>
  <si>
    <t>salman.latif.412@example.com</t>
  </si>
  <si>
    <t>0311-6927431</t>
  </si>
  <si>
    <t>Emp@RR012#17</t>
  </si>
  <si>
    <t>EMP-RR-013</t>
  </si>
  <si>
    <t>Waqas Khan</t>
  </si>
  <si>
    <t>Talha Khan</t>
  </si>
  <si>
    <t>42101-2017245-5</t>
  </si>
  <si>
    <t>waqas.khan.413@example.com</t>
  </si>
  <si>
    <t>0303-5011892</t>
  </si>
  <si>
    <t>Emp@RR013#17</t>
  </si>
  <si>
    <t>EMP-RR-014</t>
  </si>
  <si>
    <t>Talha Hussain</t>
  </si>
  <si>
    <t>Irfan Hussain</t>
  </si>
  <si>
    <t>35202-2017301-9</t>
  </si>
  <si>
    <t>talha.hussain.414@example.com</t>
  </si>
  <si>
    <t>0333-3840415</t>
  </si>
  <si>
    <t>Emp@RR014#17</t>
  </si>
  <si>
    <t>EMP-RR-015</t>
  </si>
  <si>
    <t>Zeeshan Ansari</t>
  </si>
  <si>
    <t>Qasim Ansari</t>
  </si>
  <si>
    <t>42103-2017357-3</t>
  </si>
  <si>
    <t>zeeshan.ansari.415@example.com</t>
  </si>
  <si>
    <t>0321-7521309</t>
  </si>
  <si>
    <t>Emp@RR015#17</t>
  </si>
  <si>
    <t>EMP-RR-016</t>
  </si>
  <si>
    <t>Moiz Khalid</t>
  </si>
  <si>
    <t>42103-2017413-1</t>
  </si>
  <si>
    <t>moiz.khalid.416@example.com</t>
  </si>
  <si>
    <t>0300-2582965</t>
  </si>
  <si>
    <t>Emp@RR016#17</t>
  </si>
  <si>
    <t>EMP-RR-017</t>
  </si>
  <si>
    <t>Mustafa Malik</t>
  </si>
  <si>
    <t>Waqas Malik</t>
  </si>
  <si>
    <t>35202-2017469-1</t>
  </si>
  <si>
    <t>mustafa.malik.417@example.com</t>
  </si>
  <si>
    <t>0311-4983583</t>
  </si>
  <si>
    <t>Emp@RR017#17</t>
  </si>
  <si>
    <t>EMP-RR-018</t>
  </si>
  <si>
    <t>Hussain Farooqui</t>
  </si>
  <si>
    <t>15101-2017525-7</t>
  </si>
  <si>
    <t>hussain.farooqui.418@example.com</t>
  </si>
  <si>
    <t>0344-4263512</t>
  </si>
  <si>
    <t>Emp@RR018#17</t>
  </si>
  <si>
    <t>EMP-RR-019</t>
  </si>
  <si>
    <t>Fahad Syed</t>
  </si>
  <si>
    <t>Ammar Syed</t>
  </si>
  <si>
    <t>42101-2017581-5</t>
  </si>
  <si>
    <t>fahad.syed.419@example.com</t>
  </si>
  <si>
    <t>0333-8833061</t>
  </si>
  <si>
    <t>Emp@RR019#17</t>
  </si>
  <si>
    <t>EMP-RR-020</t>
  </si>
  <si>
    <t>Rizwan Nawaz</t>
  </si>
  <si>
    <t>Hassan Nawaz</t>
  </si>
  <si>
    <t>37405-2017637-3</t>
  </si>
  <si>
    <t>rizwan.nawaz.420@example.com</t>
  </si>
  <si>
    <t>0322-1143342</t>
  </si>
  <si>
    <t>Emp@RR020#17</t>
  </si>
  <si>
    <t>EMP-RR-021</t>
  </si>
  <si>
    <t>Junaid Butt</t>
  </si>
  <si>
    <t>Salman Butt</t>
  </si>
  <si>
    <t>42102-2017693-9</t>
  </si>
  <si>
    <t>junaid.butt.421@example.com</t>
  </si>
  <si>
    <t>0315-5789858</t>
  </si>
  <si>
    <t>Emp@RR021#17</t>
  </si>
  <si>
    <t>EMP-RR-022</t>
  </si>
  <si>
    <t>Rayyan Anwar</t>
  </si>
  <si>
    <t>Kashif Anwar</t>
  </si>
  <si>
    <t>15101-2017749-7</t>
  </si>
  <si>
    <t>rayyan.anwar.422@example.com</t>
  </si>
  <si>
    <t>0314-3198856</t>
  </si>
  <si>
    <t>Emp@RR022#17</t>
  </si>
  <si>
    <t>EMP-RR-023</t>
  </si>
  <si>
    <t>Rehan Saleem</t>
  </si>
  <si>
    <t>Faisal Saleem</t>
  </si>
  <si>
    <t>42201-2017805-5</t>
  </si>
  <si>
    <t>rehan.saleem.423@example.com</t>
  </si>
  <si>
    <t>0302-7893875</t>
  </si>
  <si>
    <t>Emp@RR023#17</t>
  </si>
  <si>
    <t>EMP-RR-024</t>
  </si>
  <si>
    <t>Sami Ahmed</t>
  </si>
  <si>
    <t>Ehsan Ahmed</t>
  </si>
  <si>
    <t>37405-2017861-7</t>
  </si>
  <si>
    <t>sami.ahmed.424@example.com</t>
  </si>
  <si>
    <t>0344-9699654</t>
  </si>
  <si>
    <t>Emp@RR024#17</t>
  </si>
  <si>
    <t>EMP-RR-025</t>
  </si>
  <si>
    <t>61101-2017917-1</t>
  </si>
  <si>
    <t>ahmed.abbasi.425@example.com</t>
  </si>
  <si>
    <t>0302-1749150</t>
  </si>
  <si>
    <t>Emp@RR025#17</t>
  </si>
  <si>
    <t>EMP-OPS-001</t>
  </si>
  <si>
    <t>61101-2017599-7</t>
  </si>
  <si>
    <t>nabeel.memon.426@example.com</t>
  </si>
  <si>
    <t>0312-1724674</t>
  </si>
  <si>
    <t>Operations</t>
  </si>
  <si>
    <t>Operations Officer</t>
  </si>
  <si>
    <t>Emp@OPS001#18</t>
  </si>
  <si>
    <t>MBA Operations</t>
  </si>
  <si>
    <t>EMP-OPS-002</t>
  </si>
  <si>
    <t>Dawood Ismail</t>
  </si>
  <si>
    <t>Haroon Ismail</t>
  </si>
  <si>
    <t>42201-2017655-1</t>
  </si>
  <si>
    <t>dawood.ismail.427@example.com</t>
  </si>
  <si>
    <t>0312-5884193</t>
  </si>
  <si>
    <t>Operations Executive</t>
  </si>
  <si>
    <t>Emp@OPS002#18</t>
  </si>
  <si>
    <t>EMP-OPS-003</t>
  </si>
  <si>
    <t>Rameez Siddiqui</t>
  </si>
  <si>
    <t>Sufyan Siddiqui</t>
  </si>
  <si>
    <t>15101-2017711-7</t>
  </si>
  <si>
    <t>rameez.siddiqui.428@example.com</t>
  </si>
  <si>
    <t>0303-1746025</t>
  </si>
  <si>
    <t>Process Coordinator</t>
  </si>
  <si>
    <t>Emp@OPS003#18</t>
  </si>
  <si>
    <t>EMP-OPS-004</t>
  </si>
  <si>
    <t>Ahmed Iqbal</t>
  </si>
  <si>
    <t>42101-2017767-3</t>
  </si>
  <si>
    <t>hamza.iqbal.429@example.com</t>
  </si>
  <si>
    <t>0302-1417105</t>
  </si>
  <si>
    <t>Shift Supervisor</t>
  </si>
  <si>
    <t>Emp@OPS004#18</t>
  </si>
  <si>
    <t>BBA Operations</t>
  </si>
  <si>
    <t>EMP-OPS-005</t>
  </si>
  <si>
    <t>Kamran Akhtar</t>
  </si>
  <si>
    <t>Farhan Akhtar</t>
  </si>
  <si>
    <t>35202-2017823-9</t>
  </si>
  <si>
    <t>kamran.akhtar.430@example.com</t>
  </si>
  <si>
    <t>0321-1360661</t>
  </si>
  <si>
    <t>Operations Analyst</t>
  </si>
  <si>
    <t>Emp@OPS005#18</t>
  </si>
  <si>
    <t>EMP-OPS-006</t>
  </si>
  <si>
    <t>Arslan Aziz</t>
  </si>
  <si>
    <t>Asim Aziz</t>
  </si>
  <si>
    <t>42201-2017879-5</t>
  </si>
  <si>
    <t>arslan.aziz.431@example.com</t>
  </si>
  <si>
    <t>0323-2963121</t>
  </si>
  <si>
    <t>Emp@OPS006#18</t>
  </si>
  <si>
    <t>EMP-OPS-007</t>
  </si>
  <si>
    <t>Shoaib Raza</t>
  </si>
  <si>
    <t>Shayan Raza</t>
  </si>
  <si>
    <t>17301-2017935-1</t>
  </si>
  <si>
    <t>shoaib.raza.432@example.com</t>
  </si>
  <si>
    <t>0315-8546917</t>
  </si>
  <si>
    <t>Emp@OPS007#18</t>
  </si>
  <si>
    <t>EMP-OPS-008</t>
  </si>
  <si>
    <t>Shayan Rizvi</t>
  </si>
  <si>
    <t>Sami Rizvi</t>
  </si>
  <si>
    <t>42102-2017991-5</t>
  </si>
  <si>
    <t>shayan.rizvi.433@example.com</t>
  </si>
  <si>
    <t>0344-8833137</t>
  </si>
  <si>
    <t>Emp@OPS008#18</t>
  </si>
  <si>
    <t>EMP-OPS-009</t>
  </si>
  <si>
    <t>Sufyan Rehman</t>
  </si>
  <si>
    <t>Usman Rehman</t>
  </si>
  <si>
    <t>42201-2018047-9</t>
  </si>
  <si>
    <t>sufyan.rehman.434@example.com</t>
  </si>
  <si>
    <t>0324-9736746</t>
  </si>
  <si>
    <t>Emp@OPS009#18</t>
  </si>
  <si>
    <t>EMP-OPS-010</t>
  </si>
  <si>
    <t>Ehsan Sheikh</t>
  </si>
  <si>
    <t>42201-2018103-7</t>
  </si>
  <si>
    <t>ehsan.sheikh.435@example.com</t>
  </si>
  <si>
    <t>0314-5025313</t>
  </si>
  <si>
    <t>Emp@OPS010#18</t>
  </si>
  <si>
    <t>EMP-OPS-011</t>
  </si>
  <si>
    <t>Hassan Chaudhry</t>
  </si>
  <si>
    <t>Shoaib Chaudhry</t>
  </si>
  <si>
    <t>42101-2018159-5</t>
  </si>
  <si>
    <t>hassan.chaudhry.436@example.com</t>
  </si>
  <si>
    <t>0301-8756859</t>
  </si>
  <si>
    <t>Emp@OPS011#18</t>
  </si>
  <si>
    <t>EMP-OPS-012</t>
  </si>
  <si>
    <t>Danish Shah</t>
  </si>
  <si>
    <t>17301-2018215-3</t>
  </si>
  <si>
    <t>danish.shah.437@example.com</t>
  </si>
  <si>
    <t>0314-9207110</t>
  </si>
  <si>
    <t>Emp@OPS012#18</t>
  </si>
  <si>
    <t>EMP-OPS-013</t>
  </si>
  <si>
    <t>Adnan Sultan</t>
  </si>
  <si>
    <t>Abdul Sultan</t>
  </si>
  <si>
    <t>42103-2018271-9</t>
  </si>
  <si>
    <t>adnan.sultan.438@example.com</t>
  </si>
  <si>
    <t>0313-2494268</t>
  </si>
  <si>
    <t>Emp@OPS013#18</t>
  </si>
  <si>
    <t>EMP-OPS-014</t>
  </si>
  <si>
    <t>Faizan Awan</t>
  </si>
  <si>
    <t>Zain Awan</t>
  </si>
  <si>
    <t>37405-2018327-5</t>
  </si>
  <si>
    <t>faizan.awan.439@example.com</t>
  </si>
  <si>
    <t>0301-2984221</t>
  </si>
  <si>
    <t>Emp@OPS014#18</t>
  </si>
  <si>
    <t>EMP-OPS-015</t>
  </si>
  <si>
    <t>Muneeb Saeed</t>
  </si>
  <si>
    <t>Arslan Saeed</t>
  </si>
  <si>
    <t>61101-2018383-9</t>
  </si>
  <si>
    <t>muneeb.saeed.440@example.com</t>
  </si>
  <si>
    <t>0324-4099278</t>
  </si>
  <si>
    <t>Emp@OPS015#18</t>
  </si>
  <si>
    <t>EMP-OPS-016</t>
  </si>
  <si>
    <t>Rayyan Latif</t>
  </si>
  <si>
    <t>42201-2018439-9</t>
  </si>
  <si>
    <t>nabeel.latif.441@example.com</t>
  </si>
  <si>
    <t>0314-2772143</t>
  </si>
  <si>
    <t>Emp@OPS016#18</t>
  </si>
  <si>
    <t>EMP-OPS-017</t>
  </si>
  <si>
    <t>Dawood Khan</t>
  </si>
  <si>
    <t>Hammad Khan</t>
  </si>
  <si>
    <t>42103-2018495-7</t>
  </si>
  <si>
    <t>dawood.khan.442@example.com</t>
  </si>
  <si>
    <t>0300-7154640</t>
  </si>
  <si>
    <t>Emp@OPS017#18</t>
  </si>
  <si>
    <t>EMP-OPS-018</t>
  </si>
  <si>
    <t>Rameez Hussain</t>
  </si>
  <si>
    <t>Ali Hussain</t>
  </si>
  <si>
    <t>42201-2018551-7</t>
  </si>
  <si>
    <t>rameez.hussain.443@example.com</t>
  </si>
  <si>
    <t>0303-8352022</t>
  </si>
  <si>
    <t>Emp@OPS018#18</t>
  </si>
  <si>
    <t>EMP-OPS-019</t>
  </si>
  <si>
    <t>Kamran Ansari</t>
  </si>
  <si>
    <t>42101-2018607-5</t>
  </si>
  <si>
    <t>hamza.ansari.444@example.com</t>
  </si>
  <si>
    <t>0312-9384865</t>
  </si>
  <si>
    <t>Emp@OPS019#18</t>
  </si>
  <si>
    <t>EMP-OPS-020</t>
  </si>
  <si>
    <t>Kamran Khalid</t>
  </si>
  <si>
    <t>Junaid Khalid</t>
  </si>
  <si>
    <t>61101-2018663-9</t>
  </si>
  <si>
    <t>kamran.khalid.445@example.com</t>
  </si>
  <si>
    <t>0333-2060786</t>
  </si>
  <si>
    <t>Emp@OPS020#18</t>
  </si>
  <si>
    <t>EMP-OPS-021</t>
  </si>
  <si>
    <t>Basit Malik</t>
  </si>
  <si>
    <t>42102-2018719-5</t>
  </si>
  <si>
    <t>arslan.malik.446@example.com</t>
  </si>
  <si>
    <t>0315-1664175</t>
  </si>
  <si>
    <t>Emp@OPS021#18</t>
  </si>
  <si>
    <t>EMP-OPS-022</t>
  </si>
  <si>
    <t>Shoaib Farooqui</t>
  </si>
  <si>
    <t>17301-2018775-7</t>
  </si>
  <si>
    <t>shoaib.farooqui.447@example.com</t>
  </si>
  <si>
    <t>0303-9593651</t>
  </si>
  <si>
    <t>Emp@OPS022#18</t>
  </si>
  <si>
    <t>EMP-OPS-023</t>
  </si>
  <si>
    <t>Shayan Syed</t>
  </si>
  <si>
    <t>Hamza Syed</t>
  </si>
  <si>
    <t>17301-2018831-7</t>
  </si>
  <si>
    <t>shayan.syed.448@example.com</t>
  </si>
  <si>
    <t>0303-1738915</t>
  </si>
  <si>
    <t>Emp@OPS023#18</t>
  </si>
  <si>
    <t>EMP-OPS-024</t>
  </si>
  <si>
    <t>Sufyan Nawaz</t>
  </si>
  <si>
    <t>42201-2018887-9</t>
  </si>
  <si>
    <t>sufyan.nawaz.449@example.com</t>
  </si>
  <si>
    <t>0324-6881519</t>
  </si>
  <si>
    <t>Emp@OPS024#18</t>
  </si>
  <si>
    <t>EMP-OPS-025</t>
  </si>
  <si>
    <t>Ehsan Butt</t>
  </si>
  <si>
    <t>Sameer Butt</t>
  </si>
  <si>
    <t>42103-2018943-1</t>
  </si>
  <si>
    <t>ehsan.butt.450@example.com</t>
  </si>
  <si>
    <t>0324-6945058</t>
  </si>
  <si>
    <t>Emp@OPS025#18</t>
  </si>
  <si>
    <t>Code</t>
  </si>
  <si>
    <t>Employees Required</t>
  </si>
  <si>
    <t>Current Employees</t>
  </si>
  <si>
    <t>Active Employees</t>
  </si>
  <si>
    <t>Inactive Employees</t>
  </si>
  <si>
    <t>Total Payroll</t>
  </si>
  <si>
    <t>Average Salary</t>
  </si>
  <si>
    <t>ADM</t>
  </si>
  <si>
    <t>MGT</t>
  </si>
  <si>
    <t>SAL</t>
  </si>
  <si>
    <t>PUR</t>
  </si>
  <si>
    <t>INV</t>
  </si>
  <si>
    <t>WH</t>
  </si>
  <si>
    <t>LOG</t>
  </si>
  <si>
    <t>DEL</t>
  </si>
  <si>
    <t>CS</t>
  </si>
  <si>
    <t>ACC</t>
  </si>
  <si>
    <t>FIN</t>
  </si>
  <si>
    <t>MKT</t>
  </si>
  <si>
    <t>HR</t>
  </si>
  <si>
    <t>IT</t>
  </si>
  <si>
    <t>PM</t>
  </si>
  <si>
    <t>QC</t>
  </si>
  <si>
    <t>RR</t>
  </si>
  <si>
    <t>OPS</t>
  </si>
  <si>
    <t>E-Commerce Male Employees Dataset</t>
  </si>
  <si>
    <t>Metric</t>
  </si>
  <si>
    <t>Value</t>
  </si>
  <si>
    <t>Formula / Detail</t>
  </si>
  <si>
    <t>Total Departments</t>
  </si>
  <si>
    <t>18 departments</t>
  </si>
  <si>
    <t>Employees Per Department</t>
  </si>
  <si>
    <t>Fixed requirement</t>
  </si>
  <si>
    <t>Total Employees</t>
  </si>
  <si>
    <t>Male Employees</t>
  </si>
  <si>
    <t>Total Monthly Payroll</t>
  </si>
  <si>
    <t>Employee Count</t>
  </si>
  <si>
    <t>Laravel Import Notes</t>
  </si>
  <si>
    <t>1</t>
  </si>
  <si>
    <t>All rows are sample/fake male employee records for testing and seeding.</t>
  </si>
  <si>
    <t>2</t>
  </si>
  <si>
    <t>CNIC values are dummy Pakistani-format values. Do not use them as real identity data.</t>
  </si>
  <si>
    <t>3</t>
  </si>
  <si>
    <t>Temporary Password column is plain text only for import/demo. In Laravel, always save passwords with Hash::make($password).</t>
  </si>
  <si>
    <t>4</t>
  </si>
  <si>
    <t>Suggested columns for employees table: employee_code, name, father_name, gender, cnic, email, phone, department_id, designation, salary, joining_date, status.</t>
  </si>
  <si>
    <t>5</t>
  </si>
  <si>
    <t>Create department records first, then map employees by Department name or Code.</t>
  </si>
  <si>
    <t>Example</t>
  </si>
  <si>
    <t>User::create(['name'=&gt;$row['Full Name'], 'email'=&gt;$row['Email'], 'password'=&gt;Hash::make($row['Temporary Password'])]);</t>
  </si>
  <si>
    <t>6</t>
  </si>
  <si>
    <t>Column Q has been changed from Organization to Education Institute. Use this for the employee's educational organization/institute.</t>
  </si>
  <si>
    <t>7</t>
  </si>
  <si>
    <t>Suggested updated employees columns: employee_code, name, father_name, gender, cnic, email, phone, department_id, designation, salary, joining_date, date_of_birth, status, education_institute, education.</t>
  </si>
  <si>
    <t>8</t>
  </si>
  <si>
    <t>For user login imports, create users first and hash Temporary Password using Hash::make($row['Temporary Password']).</t>
  </si>
  <si>
    <t>9</t>
  </si>
  <si>
    <t>Added Date of Birth column as date_of_birth for Laravel employee import.</t>
  </si>
  <si>
    <t>Education Institute Summary</t>
  </si>
  <si>
    <t>Degrees / Certificates Covered</t>
  </si>
  <si>
    <t>Intermediate, Matric</t>
  </si>
  <si>
    <t>BA, BBA, BBA Finance, BBA HRM, BBA Marketing, BS Business Administration, Diploma in QA, MBA, MBA Finance, MBA HRM, MBA Marketing, MS Management</t>
  </si>
  <si>
    <t>BS Computer Science, BS Quality Management</t>
  </si>
  <si>
    <t>B.Com, M.Com</t>
  </si>
  <si>
    <t>BBA Operations, BBA Supply Chain, Diploma in Driving / Delivery Operations, Diploma in Logistics</t>
  </si>
  <si>
    <t>BS Software Engineering, DAE IT</t>
  </si>
  <si>
    <t>DAE, DAE Electronics</t>
  </si>
  <si>
    <t>Diploma in Driving / Delivery Operations, MBA Supply Chain</t>
  </si>
  <si>
    <t>Diploma in Driving / Delivery Operations, Diploma in Warehouse Management</t>
  </si>
  <si>
    <t>BBA Supply Chain, Diploma in Driving / Delivery Operations, MBA Operations</t>
  </si>
  <si>
    <t>BS Media Studies, BS Psychology</t>
  </si>
  <si>
    <t>Education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</si>
</sst>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4"/>
      <color rgb="FFFFFFFF"/>
      <name val="Carlito"/>
    </font>
    <font>
      <u/>
      <sz val="11"/>
      <color theme="10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0F766E"/>
      </patternFill>
    </fill>
    <fill>
      <patternFill patternType="solid">
        <fgColor rgb="FF1F4E79"/>
      </patternFill>
    </fill>
    <fill>
      <patternFill patternType="solid">
        <fgColor rgb="FF0F766E"/>
      </patternFill>
    </fill>
    <fill>
      <patternFill patternType="solid">
        <fgColor rgb="FF0F766E"/>
      </patternFill>
    </fill>
    <fill>
      <patternFill patternType="solid">
        <fgColor rgb="FF1F4E79"/>
      </patternFill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3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3" fontId="0" fillId="0" borderId="0" xfId="0" applyNumberFormat="1" applyAlignment="1">
      <alignment wrapText="1"/>
    </xf>
    <xf numFmtId="0" fontId="1" fillId="4" borderId="0" xfId="0" applyFont="1" applyFill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0" fontId="1" fillId="6" borderId="0" xfId="0" applyFont="1" applyFill="1" applyAlignment="1">
      <alignment horizontal="center" vertical="center"/>
    </xf>
    <xf numFmtId="0" fontId="0" fillId="0" borderId="0" xfId="0" applyAlignment="1">
      <alignment horizontal="left" vertical="center" wrapText="1"/>
    </xf>
    <xf numFmtId="1" fontId="0" fillId="0" borderId="0" xfId="0" applyNumberFormat="1" applyAlignment="1">
      <alignment vertical="center" wrapText="1"/>
    </xf>
    <xf numFmtId="1" fontId="0" fillId="0" borderId="0" xfId="0" applyNumberFormat="1" applyAlignment="1">
      <alignment wrapText="1"/>
    </xf>
    <xf numFmtId="0" fontId="1" fillId="8" borderId="0" xfId="0" applyFont="1" applyFill="1" applyAlignment="1">
      <alignment horizontal="center" vertical="center"/>
    </xf>
    <xf numFmtId="0" fontId="4" fillId="0" borderId="0" xfId="1"/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3" fillId="7" borderId="0" xfId="0" applyFont="1" applyFill="1" applyAlignment="1">
      <alignment horizontal="center" vertical="center"/>
    </xf>
    <xf numFmtId="1" fontId="3" fillId="7" borderId="0" xfId="0" applyNumberFormat="1" applyFont="1" applyFill="1" applyAlignment="1">
      <alignment horizontal="center" vertical="center"/>
    </xf>
    <xf numFmtId="0" fontId="3" fillId="5" borderId="0" xfId="0" applyFont="1" applyFill="1" applyAlignment="1">
      <alignment horizontal="center"/>
    </xf>
    <xf numFmtId="1" fontId="0" fillId="0" borderId="0" xfId="0" applyNumberFormat="1"/>
  </cellXfs>
  <cellStyles count="2">
    <cellStyle name="Hyperlink" xfId="1" builtinId="8"/>
    <cellStyle name="Normal" xfId="0" builtinId="0"/>
  </cellStyles>
  <dxfs count="2">
    <dxf>
      <fill>
        <patternFill>
          <bgColor rgb="FFFDE68A"/>
        </patternFill>
      </fill>
    </dxf>
    <dxf>
      <font>
        <color rgb="FF991B1B"/>
      </font>
      <fill>
        <patternFill>
          <bgColor rgb="FFFECAC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Employees Per Department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1"/>
          <c:cat>
            <c:strRef>
              <c:f>Summary!$A$13:$A$30</c:f>
              <c:strCache>
                <c:ptCount val="18"/>
                <c:pt idx="0">
                  <c:v>Admin</c:v>
                </c:pt>
                <c:pt idx="1">
                  <c:v>Management</c:v>
                </c:pt>
                <c:pt idx="2">
                  <c:v>Sales</c:v>
                </c:pt>
                <c:pt idx="3">
                  <c:v>Purchase</c:v>
                </c:pt>
                <c:pt idx="4">
                  <c:v>Inventory</c:v>
                </c:pt>
                <c:pt idx="5">
                  <c:v>Warehouse</c:v>
                </c:pt>
                <c:pt idx="6">
                  <c:v>Logistics</c:v>
                </c:pt>
                <c:pt idx="7">
                  <c:v>Delivery</c:v>
                </c:pt>
                <c:pt idx="8">
                  <c:v>Customer Support</c:v>
                </c:pt>
                <c:pt idx="9">
                  <c:v>Accounts</c:v>
                </c:pt>
                <c:pt idx="10">
                  <c:v>Finance</c:v>
                </c:pt>
                <c:pt idx="11">
                  <c:v>Marketing</c:v>
                </c:pt>
                <c:pt idx="12">
                  <c:v>Human Resource</c:v>
                </c:pt>
                <c:pt idx="13">
                  <c:v>IT Support</c:v>
                </c:pt>
                <c:pt idx="14">
                  <c:v>Product Management</c:v>
                </c:pt>
                <c:pt idx="15">
                  <c:v>Quality Control</c:v>
                </c:pt>
                <c:pt idx="16">
                  <c:v>Returns and Refunds</c:v>
                </c:pt>
                <c:pt idx="17">
                  <c:v>Operations</c:v>
                </c:pt>
              </c:strCache>
            </c:strRef>
          </c:cat>
          <c:val>
            <c:numRef>
              <c:f>Summary!$B$13:$B$30</c:f>
              <c:numCache>
                <c:formatCode>General</c:formatCode>
                <c:ptCount val="18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72-499B-929A-8BD5D68B5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Employees by Organization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Departments Covered</c:v>
          </c:tx>
          <c:invertIfNegative val="1"/>
          <c:cat>
            <c:strRef>
              <c:f>Organizations!$A$4:$A$8</c:f>
              <c:strCache>
                <c:ptCount val="5"/>
                <c:pt idx="0">
                  <c:v>ACCA Pakistan Learning Partner</c:v>
                </c:pt>
                <c:pt idx="1">
                  <c:v>Adamjee Government Science College</c:v>
                </c:pt>
                <c:pt idx="2">
                  <c:v>Bahria University Business Department</c:v>
                </c:pt>
                <c:pt idx="3">
                  <c:v>COMSATS University</c:v>
                </c:pt>
                <c:pt idx="4">
                  <c:v>DJ Sindh Government Science College</c:v>
                </c:pt>
              </c:strCache>
            </c:strRef>
          </c:cat>
          <c:val>
            <c:numRef>
              <c:f>Organizations!$B$4:$B$8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29-4B8A-A688-9EB981209064}"/>
            </c:ext>
          </c:extLst>
        </c:ser>
        <c:ser>
          <c:idx val="1"/>
          <c:order val="1"/>
          <c:tx>
            <c:v>Employee Count</c:v>
          </c:tx>
          <c:invertIfNegative val="1"/>
          <c:cat>
            <c:strRef>
              <c:f>Organizations!$A$4:$A$8</c:f>
              <c:strCache>
                <c:ptCount val="5"/>
                <c:pt idx="0">
                  <c:v>ACCA Pakistan Learning Partner</c:v>
                </c:pt>
                <c:pt idx="1">
                  <c:v>Adamjee Government Science College</c:v>
                </c:pt>
                <c:pt idx="2">
                  <c:v>Bahria University Business Department</c:v>
                </c:pt>
                <c:pt idx="3">
                  <c:v>COMSATS University</c:v>
                </c:pt>
                <c:pt idx="4">
                  <c:v>DJ Sindh Government Science College</c:v>
                </c:pt>
              </c:strCache>
            </c:strRef>
          </c:cat>
          <c:val>
            <c:numRef>
              <c:f>Organizations!$C$4:$C$8</c:f>
              <c:numCache>
                <c:formatCode>0</c:formatCode>
                <c:ptCount val="5"/>
                <c:pt idx="0">
                  <c:v>6</c:v>
                </c:pt>
                <c:pt idx="1">
                  <c:v>20</c:v>
                </c:pt>
                <c:pt idx="2">
                  <c:v>27</c:v>
                </c:pt>
                <c:pt idx="3">
                  <c:v>7</c:v>
                </c:pt>
                <c:pt idx="4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29-4B8A-A688-9EB9812090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Employees by Education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1"/>
          <c:cat>
            <c:strRef>
              <c:f>'Education Summary'!$A$4:$A$39</c:f>
              <c:strCache>
                <c:ptCount val="36"/>
                <c:pt idx="0">
                  <c:v>ACCA</c:v>
                </c:pt>
                <c:pt idx="1">
                  <c:v>ACCA Foundation</c:v>
                </c:pt>
                <c:pt idx="2">
                  <c:v>B.Com</c:v>
                </c:pt>
                <c:pt idx="3">
                  <c:v>BA</c:v>
                </c:pt>
                <c:pt idx="4">
                  <c:v>BBA</c:v>
                </c:pt>
                <c:pt idx="5">
                  <c:v>BBA Finance</c:v>
                </c:pt>
                <c:pt idx="6">
                  <c:v>BBA HRM</c:v>
                </c:pt>
                <c:pt idx="7">
                  <c:v>BBA Marketing</c:v>
                </c:pt>
                <c:pt idx="8">
                  <c:v>BBA Operations</c:v>
                </c:pt>
                <c:pt idx="9">
                  <c:v>BBA Supply Chain</c:v>
                </c:pt>
                <c:pt idx="10">
                  <c:v>BS Business Administration</c:v>
                </c:pt>
                <c:pt idx="11">
                  <c:v>BS Computer Science</c:v>
                </c:pt>
                <c:pt idx="12">
                  <c:v>BS Media Studies</c:v>
                </c:pt>
                <c:pt idx="13">
                  <c:v>BS Psychology</c:v>
                </c:pt>
                <c:pt idx="14">
                  <c:v>BS Public Administration</c:v>
                </c:pt>
                <c:pt idx="15">
                  <c:v>BS Quality Management</c:v>
                </c:pt>
                <c:pt idx="16">
                  <c:v>BS Software Engineering</c:v>
                </c:pt>
                <c:pt idx="17">
                  <c:v>DAE</c:v>
                </c:pt>
                <c:pt idx="18">
                  <c:v>DAE Electronics</c:v>
                </c:pt>
                <c:pt idx="19">
                  <c:v>DAE IT</c:v>
                </c:pt>
                <c:pt idx="20">
                  <c:v>Diploma in Customer Service</c:v>
                </c:pt>
                <c:pt idx="21">
                  <c:v>Diploma in Driving / Delivery Operations</c:v>
                </c:pt>
                <c:pt idx="22">
                  <c:v>Diploma in IT</c:v>
                </c:pt>
                <c:pt idx="23">
                  <c:v>Diploma in Logistics</c:v>
                </c:pt>
                <c:pt idx="24">
                  <c:v>Diploma in QA</c:v>
                </c:pt>
                <c:pt idx="25">
                  <c:v>Diploma in Warehouse Management</c:v>
                </c:pt>
                <c:pt idx="26">
                  <c:v>Intermediate</c:v>
                </c:pt>
                <c:pt idx="27">
                  <c:v>M.Com</c:v>
                </c:pt>
                <c:pt idx="28">
                  <c:v>MBA</c:v>
                </c:pt>
                <c:pt idx="29">
                  <c:v>MBA Finance</c:v>
                </c:pt>
                <c:pt idx="30">
                  <c:v>MBA HRM</c:v>
                </c:pt>
                <c:pt idx="31">
                  <c:v>MBA Marketing</c:v>
                </c:pt>
                <c:pt idx="32">
                  <c:v>MBA Operations</c:v>
                </c:pt>
                <c:pt idx="33">
                  <c:v>MBA Supply Chain</c:v>
                </c:pt>
                <c:pt idx="34">
                  <c:v>MS Management</c:v>
                </c:pt>
                <c:pt idx="35">
                  <c:v>Matric</c:v>
                </c:pt>
              </c:strCache>
            </c:strRef>
          </c:cat>
          <c:val>
            <c:numRef>
              <c:f>'Education Summary'!$B$4:$B$39</c:f>
              <c:numCache>
                <c:formatCode>General</c:formatCode>
                <c:ptCount val="36"/>
                <c:pt idx="0">
                  <c:v>6</c:v>
                </c:pt>
                <c:pt idx="1">
                  <c:v>6</c:v>
                </c:pt>
                <c:pt idx="2">
                  <c:v>50</c:v>
                </c:pt>
                <c:pt idx="3">
                  <c:v>18</c:v>
                </c:pt>
                <c:pt idx="4">
                  <c:v>26</c:v>
                </c:pt>
                <c:pt idx="5">
                  <c:v>6</c:v>
                </c:pt>
                <c:pt idx="6">
                  <c:v>7</c:v>
                </c:pt>
                <c:pt idx="7">
                  <c:v>12</c:v>
                </c:pt>
                <c:pt idx="8">
                  <c:v>6</c:v>
                </c:pt>
                <c:pt idx="9">
                  <c:v>18</c:v>
                </c:pt>
                <c:pt idx="10">
                  <c:v>12</c:v>
                </c:pt>
                <c:pt idx="11">
                  <c:v>12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18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8</c:v>
                </c:pt>
                <c:pt idx="22">
                  <c:v>7</c:v>
                </c:pt>
                <c:pt idx="23">
                  <c:v>6</c:v>
                </c:pt>
                <c:pt idx="24">
                  <c:v>7</c:v>
                </c:pt>
                <c:pt idx="25">
                  <c:v>6</c:v>
                </c:pt>
                <c:pt idx="26">
                  <c:v>81</c:v>
                </c:pt>
                <c:pt idx="27">
                  <c:v>14</c:v>
                </c:pt>
                <c:pt idx="28">
                  <c:v>6</c:v>
                </c:pt>
                <c:pt idx="29">
                  <c:v>12</c:v>
                </c:pt>
                <c:pt idx="30">
                  <c:v>6</c:v>
                </c:pt>
                <c:pt idx="31">
                  <c:v>19</c:v>
                </c:pt>
                <c:pt idx="32">
                  <c:v>7</c:v>
                </c:pt>
                <c:pt idx="33">
                  <c:v>6</c:v>
                </c:pt>
                <c:pt idx="34">
                  <c:v>6</c:v>
                </c:pt>
                <c:pt idx="3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C4-4399-92B4-5AADBA1D92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11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12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11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mployeesTable" displayName="EmployeesTable" ref="A1:P451">
  <tableColumns count="16">
    <tableColumn id="1" xr3:uid="{00000000-0010-0000-0000-000001000000}" name="Employee ID"/>
    <tableColumn id="2" xr3:uid="{00000000-0010-0000-0000-000002000000}" name="Full Name"/>
    <tableColumn id="3" xr3:uid="{00000000-0010-0000-0000-000003000000}" name="Father Name"/>
    <tableColumn id="4" xr3:uid="{00000000-0010-0000-0000-000004000000}" name="Gender"/>
    <tableColumn id="5" xr3:uid="{00000000-0010-0000-0000-000005000000}" name="CNIC"/>
    <tableColumn id="6" xr3:uid="{00000000-0010-0000-0000-000006000000}" name="Email"/>
    <tableColumn id="7" xr3:uid="{00000000-0010-0000-0000-000007000000}" name="Phone"/>
    <tableColumn id="8" xr3:uid="{00000000-0010-0000-0000-000008000000}" name="Department"/>
    <tableColumn id="9" xr3:uid="{00000000-0010-0000-0000-000009000000}" name="Designation"/>
    <tableColumn id="10" xr3:uid="{00000000-0010-0000-0000-00000A000000}" name="Basic Salary"/>
    <tableColumn id="11" xr3:uid="{00000000-0010-0000-0000-00000B000000}" name="Joining Date"/>
    <tableColumn id="12" xr3:uid="{00000000-0010-0000-0000-00000C000000}" name="Status"/>
    <tableColumn id="13" xr3:uid="{00000000-0010-0000-0000-00000D000000}" name="Temporary Password"/>
    <tableColumn id="14" xr3:uid="{00000000-0010-0000-0000-00000E000000}" name="Address"/>
    <tableColumn id="15" xr3:uid="{00000000-0010-0000-0000-00000F000000}" name="Monthly Salary PKR"/>
    <tableColumn id="16" xr3:uid="{00000000-0010-0000-0000-000010000000}" name="Annual Salary PK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DepartmentsTable" displayName="DepartmentsTable" ref="A1:H19">
  <tableColumns count="8">
    <tableColumn id="1" xr3:uid="{00000000-0010-0000-0200-000001000000}" name="Department"/>
    <tableColumn id="2" xr3:uid="{00000000-0010-0000-0200-000002000000}" name="Code"/>
    <tableColumn id="3" xr3:uid="{00000000-0010-0000-0200-000003000000}" name="Employees Required"/>
    <tableColumn id="4" xr3:uid="{00000000-0010-0000-0200-000004000000}" name="Current Employees"/>
    <tableColumn id="5" xr3:uid="{00000000-0010-0000-0200-000005000000}" name="Active Employees"/>
    <tableColumn id="6" xr3:uid="{00000000-0010-0000-0200-000006000000}" name="Inactive Employees"/>
    <tableColumn id="7" xr3:uid="{00000000-0010-0000-0200-000007000000}" name="Total Payroll"/>
    <tableColumn id="8" xr3:uid="{00000000-0010-0000-0200-000008000000}" name="Average Salar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DeptCountSummaryTable" displayName="DeptCountSummaryTable" ref="A12:B30">
  <tableColumns count="2">
    <tableColumn id="1" xr3:uid="{00000000-0010-0000-0300-000001000000}" name="Department"/>
    <tableColumn id="2" xr3:uid="{00000000-0010-0000-0300-000002000000}" name="Employee Cou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EducationInstituteSummaryTable" displayName="EducationInstituteSummaryTable" ref="A3:C32">
  <tableColumns count="3">
    <tableColumn id="1" xr3:uid="{00000000-0010-0000-0400-000001000000}" name="Education Institute"/>
    <tableColumn id="2" xr3:uid="{00000000-0010-0000-0400-000002000000}" name="Degrees / Certificates Covered"/>
    <tableColumn id="3" xr3:uid="{00000000-0010-0000-0400-000003000000}" name="Employee Cou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5000000}" name="EducationSummaryTable" displayName="EducationSummaryTable" ref="A3:B39">
  <tableColumns count="2">
    <tableColumn id="1" xr3:uid="{00000000-0010-0000-0500-000001000000}" name="Education"/>
    <tableColumn id="2" xr3:uid="{00000000-0010-0000-0500-000002000000}" name="Employee 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bilal.abbasi.001@exampl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51"/>
  <sheetViews>
    <sheetView tabSelected="1" workbookViewId="0">
      <selection activeCell="E6" sqref="E6"/>
    </sheetView>
  </sheetViews>
  <sheetFormatPr defaultRowHeight="13.8"/>
  <cols>
    <col min="1" max="1" width="15" customWidth="1"/>
    <col min="2" max="3" width="22" customWidth="1"/>
    <col min="4" max="4" width="10" customWidth="1"/>
    <col min="5" max="5" width="18" customWidth="1"/>
    <col min="6" max="6" width="30" customWidth="1"/>
    <col min="7" max="7" width="14" customWidth="1"/>
    <col min="8" max="8" width="22" customWidth="1"/>
    <col min="9" max="9" width="25" customWidth="1"/>
    <col min="10" max="11" width="14" customWidth="1"/>
    <col min="12" max="12" width="12" customWidth="1"/>
    <col min="13" max="13" width="18" customWidth="1"/>
    <col min="14" max="14" width="28" customWidth="1"/>
    <col min="15" max="16" width="18" customWidth="1"/>
    <col min="17" max="17" width="34" customWidth="1"/>
    <col min="18" max="18" width="28" customWidth="1"/>
    <col min="19" max="19" width="1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2" t="s">
        <v>16</v>
      </c>
      <c r="R1" s="8" t="s">
        <v>17</v>
      </c>
      <c r="S1" s="16" t="s">
        <v>18</v>
      </c>
    </row>
    <row r="2" spans="1:19" ht="27.6">
      <c r="A2" t="s">
        <v>19</v>
      </c>
      <c r="B2" t="s">
        <v>20</v>
      </c>
      <c r="C2" t="s">
        <v>21</v>
      </c>
      <c r="D2" t="s">
        <v>22</v>
      </c>
      <c r="E2" t="s">
        <v>23</v>
      </c>
      <c r="F2" s="17" t="s">
        <v>24</v>
      </c>
      <c r="G2" t="s">
        <v>25</v>
      </c>
      <c r="H2" t="s">
        <v>26</v>
      </c>
      <c r="I2" t="s">
        <v>27</v>
      </c>
      <c r="J2" s="2">
        <v>68000</v>
      </c>
      <c r="K2" s="3">
        <v>44936</v>
      </c>
      <c r="L2" t="s">
        <v>28</v>
      </c>
      <c r="M2" t="s">
        <v>29</v>
      </c>
      <c r="N2" t="s">
        <v>30</v>
      </c>
      <c r="O2" s="2">
        <f t="shared" ref="O2:O65" si="0">J2</f>
        <v>68000</v>
      </c>
      <c r="P2" s="2">
        <f t="shared" ref="P2:P65" si="1">J2*12</f>
        <v>816000</v>
      </c>
      <c r="Q2" s="13" t="s">
        <v>31</v>
      </c>
      <c r="R2" s="9" t="s">
        <v>32</v>
      </c>
      <c r="S2" s="3">
        <v>30479</v>
      </c>
    </row>
    <row r="3" spans="1:19">
      <c r="A3" t="s">
        <v>33</v>
      </c>
      <c r="B3" t="s">
        <v>34</v>
      </c>
      <c r="C3" t="s">
        <v>35</v>
      </c>
      <c r="D3" t="s">
        <v>22</v>
      </c>
      <c r="E3" t="s">
        <v>36</v>
      </c>
      <c r="F3" t="s">
        <v>37</v>
      </c>
      <c r="G3" t="s">
        <v>38</v>
      </c>
      <c r="H3" t="s">
        <v>26</v>
      </c>
      <c r="I3" t="s">
        <v>39</v>
      </c>
      <c r="J3" s="2">
        <v>61000</v>
      </c>
      <c r="K3" s="3">
        <v>44945</v>
      </c>
      <c r="L3" t="s">
        <v>28</v>
      </c>
      <c r="M3" t="s">
        <v>40</v>
      </c>
      <c r="N3" t="s">
        <v>41</v>
      </c>
      <c r="O3" s="2">
        <f t="shared" si="0"/>
        <v>61000</v>
      </c>
      <c r="P3" s="2">
        <f t="shared" si="1"/>
        <v>732000</v>
      </c>
      <c r="Q3" s="13" t="s">
        <v>42</v>
      </c>
      <c r="R3" s="9" t="s">
        <v>43</v>
      </c>
      <c r="S3" s="3">
        <v>33200</v>
      </c>
    </row>
    <row r="4" spans="1:19">
      <c r="A4" t="s">
        <v>44</v>
      </c>
      <c r="B4" t="s">
        <v>45</v>
      </c>
      <c r="C4" t="s">
        <v>46</v>
      </c>
      <c r="D4" t="s">
        <v>22</v>
      </c>
      <c r="E4" t="s">
        <v>47</v>
      </c>
      <c r="F4" t="s">
        <v>48</v>
      </c>
      <c r="G4" t="s">
        <v>49</v>
      </c>
      <c r="H4" t="s">
        <v>26</v>
      </c>
      <c r="I4" t="s">
        <v>50</v>
      </c>
      <c r="J4" s="2">
        <v>54000</v>
      </c>
      <c r="K4" s="3">
        <v>44954</v>
      </c>
      <c r="L4" t="s">
        <v>28</v>
      </c>
      <c r="M4" t="s">
        <v>51</v>
      </c>
      <c r="N4" t="s">
        <v>52</v>
      </c>
      <c r="O4" s="2">
        <f t="shared" si="0"/>
        <v>54000</v>
      </c>
      <c r="P4" s="2">
        <f t="shared" si="1"/>
        <v>648000</v>
      </c>
      <c r="Q4" s="13" t="s">
        <v>53</v>
      </c>
      <c r="R4" s="9" t="s">
        <v>54</v>
      </c>
      <c r="S4" s="3">
        <v>35526</v>
      </c>
    </row>
    <row r="5" spans="1:19">
      <c r="A5" t="s">
        <v>55</v>
      </c>
      <c r="B5" t="s">
        <v>56</v>
      </c>
      <c r="C5" t="s">
        <v>57</v>
      </c>
      <c r="D5" t="s">
        <v>22</v>
      </c>
      <c r="E5" t="s">
        <v>58</v>
      </c>
      <c r="F5" t="s">
        <v>59</v>
      </c>
      <c r="G5" t="s">
        <v>60</v>
      </c>
      <c r="H5" t="s">
        <v>26</v>
      </c>
      <c r="I5" t="s">
        <v>61</v>
      </c>
      <c r="J5" s="2">
        <v>78000</v>
      </c>
      <c r="K5" s="3">
        <v>44963</v>
      </c>
      <c r="L5" t="s">
        <v>28</v>
      </c>
      <c r="M5" t="s">
        <v>62</v>
      </c>
      <c r="N5" t="s">
        <v>41</v>
      </c>
      <c r="O5" s="2">
        <f t="shared" si="0"/>
        <v>78000</v>
      </c>
      <c r="P5" s="2">
        <f t="shared" si="1"/>
        <v>936000</v>
      </c>
      <c r="Q5" s="13" t="s">
        <v>63</v>
      </c>
      <c r="R5" s="9" t="s">
        <v>64</v>
      </c>
      <c r="S5" s="3">
        <v>38247</v>
      </c>
    </row>
    <row r="6" spans="1:19" ht="27.6">
      <c r="A6" t="s">
        <v>65</v>
      </c>
      <c r="B6" t="s">
        <v>66</v>
      </c>
      <c r="C6" t="s">
        <v>67</v>
      </c>
      <c r="D6" t="s">
        <v>22</v>
      </c>
      <c r="E6" t="s">
        <v>68</v>
      </c>
      <c r="F6" t="s">
        <v>69</v>
      </c>
      <c r="G6" t="s">
        <v>70</v>
      </c>
      <c r="H6" t="s">
        <v>26</v>
      </c>
      <c r="I6" t="s">
        <v>71</v>
      </c>
      <c r="J6" s="2">
        <v>62000</v>
      </c>
      <c r="K6" s="3">
        <v>44972</v>
      </c>
      <c r="L6" t="s">
        <v>28</v>
      </c>
      <c r="M6" t="s">
        <v>72</v>
      </c>
      <c r="N6" t="s">
        <v>73</v>
      </c>
      <c r="O6" s="2">
        <f t="shared" si="0"/>
        <v>62000</v>
      </c>
      <c r="P6" s="2">
        <f t="shared" si="1"/>
        <v>744000</v>
      </c>
      <c r="Q6" s="13" t="s">
        <v>74</v>
      </c>
      <c r="R6" s="9" t="s">
        <v>32</v>
      </c>
      <c r="S6" s="3">
        <v>30010</v>
      </c>
    </row>
    <row r="7" spans="1:19">
      <c r="A7" t="s">
        <v>75</v>
      </c>
      <c r="B7" t="s">
        <v>76</v>
      </c>
      <c r="C7" t="s">
        <v>77</v>
      </c>
      <c r="D7" t="s">
        <v>22</v>
      </c>
      <c r="E7" t="s">
        <v>78</v>
      </c>
      <c r="F7" t="s">
        <v>79</v>
      </c>
      <c r="G7" t="s">
        <v>80</v>
      </c>
      <c r="H7" t="s">
        <v>26</v>
      </c>
      <c r="I7" t="s">
        <v>27</v>
      </c>
      <c r="J7" s="2">
        <v>89000</v>
      </c>
      <c r="K7" s="3">
        <v>44981</v>
      </c>
      <c r="L7" t="s">
        <v>28</v>
      </c>
      <c r="M7" t="s">
        <v>81</v>
      </c>
      <c r="N7" t="s">
        <v>82</v>
      </c>
      <c r="O7" s="2">
        <f t="shared" si="0"/>
        <v>89000</v>
      </c>
      <c r="P7" s="2">
        <f t="shared" si="1"/>
        <v>1068000</v>
      </c>
      <c r="Q7" s="13" t="s">
        <v>42</v>
      </c>
      <c r="R7" s="9" t="s">
        <v>43</v>
      </c>
      <c r="S7" s="3">
        <v>32700</v>
      </c>
    </row>
    <row r="8" spans="1:19">
      <c r="A8" t="s">
        <v>83</v>
      </c>
      <c r="B8" t="s">
        <v>84</v>
      </c>
      <c r="C8" t="s">
        <v>85</v>
      </c>
      <c r="D8" t="s">
        <v>22</v>
      </c>
      <c r="E8" t="s">
        <v>86</v>
      </c>
      <c r="F8" t="s">
        <v>87</v>
      </c>
      <c r="G8" t="s">
        <v>88</v>
      </c>
      <c r="H8" t="s">
        <v>26</v>
      </c>
      <c r="I8" t="s">
        <v>39</v>
      </c>
      <c r="J8" s="2">
        <v>85000</v>
      </c>
      <c r="K8" s="3">
        <v>44990</v>
      </c>
      <c r="L8" t="s">
        <v>28</v>
      </c>
      <c r="M8" t="s">
        <v>89</v>
      </c>
      <c r="N8" t="s">
        <v>41</v>
      </c>
      <c r="O8" s="2">
        <f t="shared" si="0"/>
        <v>85000</v>
      </c>
      <c r="P8" s="2">
        <f t="shared" si="1"/>
        <v>1020000</v>
      </c>
      <c r="Q8" s="13" t="s">
        <v>90</v>
      </c>
      <c r="R8" s="9" t="s">
        <v>54</v>
      </c>
      <c r="S8" s="3">
        <v>35421</v>
      </c>
    </row>
    <row r="9" spans="1:19">
      <c r="A9" t="s">
        <v>91</v>
      </c>
      <c r="B9" t="s">
        <v>92</v>
      </c>
      <c r="C9" t="s">
        <v>93</v>
      </c>
      <c r="D9" t="s">
        <v>22</v>
      </c>
      <c r="E9" t="s">
        <v>94</v>
      </c>
      <c r="F9" t="s">
        <v>95</v>
      </c>
      <c r="G9" t="s">
        <v>96</v>
      </c>
      <c r="H9" t="s">
        <v>26</v>
      </c>
      <c r="I9" t="s">
        <v>50</v>
      </c>
      <c r="J9" s="2">
        <v>59000</v>
      </c>
      <c r="K9" s="3">
        <v>44999</v>
      </c>
      <c r="L9" t="s">
        <v>28</v>
      </c>
      <c r="M9" t="s">
        <v>97</v>
      </c>
      <c r="N9" t="s">
        <v>98</v>
      </c>
      <c r="O9" s="2">
        <f t="shared" si="0"/>
        <v>59000</v>
      </c>
      <c r="P9" s="2">
        <f t="shared" si="1"/>
        <v>708000</v>
      </c>
      <c r="Q9" s="13" t="s">
        <v>63</v>
      </c>
      <c r="R9" s="9" t="s">
        <v>64</v>
      </c>
      <c r="S9" s="3">
        <v>37746</v>
      </c>
    </row>
    <row r="10" spans="1:19">
      <c r="A10" t="s">
        <v>99</v>
      </c>
      <c r="B10" t="s">
        <v>100</v>
      </c>
      <c r="C10" t="s">
        <v>101</v>
      </c>
      <c r="D10" t="s">
        <v>22</v>
      </c>
      <c r="E10" t="s">
        <v>102</v>
      </c>
      <c r="F10" t="s">
        <v>103</v>
      </c>
      <c r="G10" t="s">
        <v>104</v>
      </c>
      <c r="H10" t="s">
        <v>26</v>
      </c>
      <c r="I10" t="s">
        <v>61</v>
      </c>
      <c r="J10" s="2">
        <v>62000</v>
      </c>
      <c r="K10" s="3">
        <v>45008</v>
      </c>
      <c r="L10" t="s">
        <v>28</v>
      </c>
      <c r="M10" t="s">
        <v>105</v>
      </c>
      <c r="N10" t="s">
        <v>106</v>
      </c>
      <c r="O10" s="2">
        <f t="shared" si="0"/>
        <v>62000</v>
      </c>
      <c r="P10" s="2">
        <f t="shared" si="1"/>
        <v>744000</v>
      </c>
      <c r="Q10" s="13" t="s">
        <v>107</v>
      </c>
      <c r="R10" s="9" t="s">
        <v>32</v>
      </c>
      <c r="S10" s="3">
        <v>29875</v>
      </c>
    </row>
    <row r="11" spans="1:19">
      <c r="A11" t="s">
        <v>108</v>
      </c>
      <c r="B11" t="s">
        <v>109</v>
      </c>
      <c r="C11" t="s">
        <v>110</v>
      </c>
      <c r="D11" t="s">
        <v>22</v>
      </c>
      <c r="E11" t="s">
        <v>111</v>
      </c>
      <c r="F11" t="s">
        <v>112</v>
      </c>
      <c r="G11" t="s">
        <v>113</v>
      </c>
      <c r="H11" t="s">
        <v>26</v>
      </c>
      <c r="I11" t="s">
        <v>71</v>
      </c>
      <c r="J11" s="2">
        <v>87000</v>
      </c>
      <c r="K11" s="3">
        <v>45017</v>
      </c>
      <c r="L11" t="s">
        <v>28</v>
      </c>
      <c r="M11" t="s">
        <v>114</v>
      </c>
      <c r="N11" t="s">
        <v>82</v>
      </c>
      <c r="O11" s="2">
        <f t="shared" si="0"/>
        <v>87000</v>
      </c>
      <c r="P11" s="2">
        <f t="shared" si="1"/>
        <v>1044000</v>
      </c>
      <c r="Q11" s="13" t="s">
        <v>42</v>
      </c>
      <c r="R11" s="9" t="s">
        <v>43</v>
      </c>
      <c r="S11" s="3">
        <v>32229</v>
      </c>
    </row>
    <row r="12" spans="1:19">
      <c r="A12" t="s">
        <v>115</v>
      </c>
      <c r="B12" t="s">
        <v>116</v>
      </c>
      <c r="C12" t="s">
        <v>117</v>
      </c>
      <c r="D12" t="s">
        <v>22</v>
      </c>
      <c r="E12" t="s">
        <v>118</v>
      </c>
      <c r="F12" t="s">
        <v>119</v>
      </c>
      <c r="G12" t="s">
        <v>120</v>
      </c>
      <c r="H12" t="s">
        <v>26</v>
      </c>
      <c r="I12" t="s">
        <v>27</v>
      </c>
      <c r="J12" s="2">
        <v>87000</v>
      </c>
      <c r="K12" s="3">
        <v>45026</v>
      </c>
      <c r="L12" t="s">
        <v>28</v>
      </c>
      <c r="M12" t="s">
        <v>121</v>
      </c>
      <c r="N12" t="s">
        <v>98</v>
      </c>
      <c r="O12" s="2">
        <f t="shared" si="0"/>
        <v>87000</v>
      </c>
      <c r="P12" s="2">
        <f t="shared" si="1"/>
        <v>1044000</v>
      </c>
      <c r="Q12" s="13" t="s">
        <v>122</v>
      </c>
      <c r="R12" s="9" t="s">
        <v>54</v>
      </c>
      <c r="S12" s="3">
        <v>34921</v>
      </c>
    </row>
    <row r="13" spans="1:19">
      <c r="A13" t="s">
        <v>123</v>
      </c>
      <c r="B13" t="s">
        <v>124</v>
      </c>
      <c r="C13" t="s">
        <v>125</v>
      </c>
      <c r="D13" t="s">
        <v>22</v>
      </c>
      <c r="E13" t="s">
        <v>126</v>
      </c>
      <c r="F13" t="s">
        <v>127</v>
      </c>
      <c r="G13" t="s">
        <v>128</v>
      </c>
      <c r="H13" t="s">
        <v>26</v>
      </c>
      <c r="I13" t="s">
        <v>39</v>
      </c>
      <c r="J13" s="2">
        <v>75000</v>
      </c>
      <c r="K13" s="3">
        <v>45035</v>
      </c>
      <c r="L13" t="s">
        <v>28</v>
      </c>
      <c r="M13" t="s">
        <v>129</v>
      </c>
      <c r="N13" t="s">
        <v>106</v>
      </c>
      <c r="O13" s="2">
        <f t="shared" si="0"/>
        <v>75000</v>
      </c>
      <c r="P13" s="2">
        <f t="shared" si="1"/>
        <v>900000</v>
      </c>
      <c r="Q13" s="13" t="s">
        <v>63</v>
      </c>
      <c r="R13" s="9" t="s">
        <v>64</v>
      </c>
      <c r="S13" s="3">
        <v>37277</v>
      </c>
    </row>
    <row r="14" spans="1:19">
      <c r="A14" t="s">
        <v>130</v>
      </c>
      <c r="B14" t="s">
        <v>131</v>
      </c>
      <c r="C14" t="s">
        <v>132</v>
      </c>
      <c r="D14" t="s">
        <v>22</v>
      </c>
      <c r="E14" t="s">
        <v>133</v>
      </c>
      <c r="F14" t="s">
        <v>134</v>
      </c>
      <c r="G14" t="s">
        <v>135</v>
      </c>
      <c r="H14" t="s">
        <v>26</v>
      </c>
      <c r="I14" t="s">
        <v>50</v>
      </c>
      <c r="J14" s="2">
        <v>91000</v>
      </c>
      <c r="K14" s="3">
        <v>45044</v>
      </c>
      <c r="L14" t="s">
        <v>28</v>
      </c>
      <c r="M14" t="s">
        <v>136</v>
      </c>
      <c r="N14" t="s">
        <v>98</v>
      </c>
      <c r="O14" s="2">
        <f t="shared" si="0"/>
        <v>91000</v>
      </c>
      <c r="P14" s="2">
        <f t="shared" si="1"/>
        <v>1092000</v>
      </c>
      <c r="Q14" s="13" t="s">
        <v>137</v>
      </c>
      <c r="R14" s="9" t="s">
        <v>32</v>
      </c>
      <c r="S14" s="3">
        <v>29376</v>
      </c>
    </row>
    <row r="15" spans="1:19">
      <c r="A15" t="s">
        <v>138</v>
      </c>
      <c r="B15" t="s">
        <v>139</v>
      </c>
      <c r="C15" t="s">
        <v>140</v>
      </c>
      <c r="D15" t="s">
        <v>22</v>
      </c>
      <c r="E15" t="s">
        <v>141</v>
      </c>
      <c r="F15" t="s">
        <v>142</v>
      </c>
      <c r="G15" t="s">
        <v>143</v>
      </c>
      <c r="H15" t="s">
        <v>26</v>
      </c>
      <c r="I15" t="s">
        <v>61</v>
      </c>
      <c r="J15" s="2">
        <v>61000</v>
      </c>
      <c r="K15" s="3">
        <v>45053</v>
      </c>
      <c r="L15" t="s">
        <v>28</v>
      </c>
      <c r="M15" t="s">
        <v>144</v>
      </c>
      <c r="N15" t="s">
        <v>52</v>
      </c>
      <c r="O15" s="2">
        <f t="shared" si="0"/>
        <v>61000</v>
      </c>
      <c r="P15" s="2">
        <f t="shared" si="1"/>
        <v>732000</v>
      </c>
      <c r="Q15" s="13" t="s">
        <v>42</v>
      </c>
      <c r="R15" s="9" t="s">
        <v>43</v>
      </c>
      <c r="S15" s="3">
        <v>32096</v>
      </c>
    </row>
    <row r="16" spans="1:19">
      <c r="A16" t="s">
        <v>145</v>
      </c>
      <c r="B16" t="s">
        <v>146</v>
      </c>
      <c r="C16" t="s">
        <v>147</v>
      </c>
      <c r="D16" t="s">
        <v>22</v>
      </c>
      <c r="E16" t="s">
        <v>148</v>
      </c>
      <c r="F16" t="s">
        <v>149</v>
      </c>
      <c r="G16" t="s">
        <v>150</v>
      </c>
      <c r="H16" t="s">
        <v>26</v>
      </c>
      <c r="I16" t="s">
        <v>71</v>
      </c>
      <c r="J16" s="2">
        <v>64000</v>
      </c>
      <c r="K16" s="3">
        <v>45062</v>
      </c>
      <c r="L16" t="s">
        <v>28</v>
      </c>
      <c r="M16" t="s">
        <v>151</v>
      </c>
      <c r="N16" t="s">
        <v>82</v>
      </c>
      <c r="O16" s="2">
        <f t="shared" si="0"/>
        <v>64000</v>
      </c>
      <c r="P16" s="2">
        <f t="shared" si="1"/>
        <v>768000</v>
      </c>
      <c r="Q16" s="13" t="s">
        <v>152</v>
      </c>
      <c r="R16" s="9" t="s">
        <v>54</v>
      </c>
      <c r="S16" s="3">
        <v>34450</v>
      </c>
    </row>
    <row r="17" spans="1:19">
      <c r="A17" t="s">
        <v>153</v>
      </c>
      <c r="B17" t="s">
        <v>154</v>
      </c>
      <c r="C17" t="s">
        <v>155</v>
      </c>
      <c r="D17" t="s">
        <v>22</v>
      </c>
      <c r="E17" t="s">
        <v>156</v>
      </c>
      <c r="F17" t="s">
        <v>157</v>
      </c>
      <c r="G17" t="s">
        <v>158</v>
      </c>
      <c r="H17" t="s">
        <v>26</v>
      </c>
      <c r="I17" t="s">
        <v>27</v>
      </c>
      <c r="J17" s="2">
        <v>70000</v>
      </c>
      <c r="K17" s="3">
        <v>45071</v>
      </c>
      <c r="L17" t="s">
        <v>28</v>
      </c>
      <c r="M17" t="s">
        <v>159</v>
      </c>
      <c r="N17" t="s">
        <v>82</v>
      </c>
      <c r="O17" s="2">
        <f t="shared" si="0"/>
        <v>70000</v>
      </c>
      <c r="P17" s="2">
        <f t="shared" si="1"/>
        <v>840000</v>
      </c>
      <c r="Q17" s="13" t="s">
        <v>63</v>
      </c>
      <c r="R17" s="9" t="s">
        <v>64</v>
      </c>
      <c r="S17" s="3">
        <v>37143</v>
      </c>
    </row>
    <row r="18" spans="1:19" ht="27.6">
      <c r="A18" t="s">
        <v>160</v>
      </c>
      <c r="B18" t="s">
        <v>161</v>
      </c>
      <c r="C18" t="s">
        <v>162</v>
      </c>
      <c r="D18" t="s">
        <v>22</v>
      </c>
      <c r="E18" t="s">
        <v>163</v>
      </c>
      <c r="F18" t="s">
        <v>164</v>
      </c>
      <c r="G18" t="s">
        <v>165</v>
      </c>
      <c r="H18" t="s">
        <v>26</v>
      </c>
      <c r="I18" t="s">
        <v>39</v>
      </c>
      <c r="J18" s="2">
        <v>80000</v>
      </c>
      <c r="K18" s="3">
        <v>45080</v>
      </c>
      <c r="L18" t="s">
        <v>28</v>
      </c>
      <c r="M18" t="s">
        <v>166</v>
      </c>
      <c r="N18" t="s">
        <v>52</v>
      </c>
      <c r="O18" s="2">
        <f t="shared" si="0"/>
        <v>80000</v>
      </c>
      <c r="P18" s="2">
        <f t="shared" si="1"/>
        <v>960000</v>
      </c>
      <c r="Q18" s="13" t="s">
        <v>167</v>
      </c>
      <c r="R18" s="9" t="s">
        <v>32</v>
      </c>
      <c r="S18" s="3">
        <v>28906</v>
      </c>
    </row>
    <row r="19" spans="1:19">
      <c r="A19" t="s">
        <v>168</v>
      </c>
      <c r="B19" t="s">
        <v>169</v>
      </c>
      <c r="C19" t="s">
        <v>170</v>
      </c>
      <c r="D19" t="s">
        <v>22</v>
      </c>
      <c r="E19" t="s">
        <v>171</v>
      </c>
      <c r="F19" t="s">
        <v>172</v>
      </c>
      <c r="G19" t="s">
        <v>173</v>
      </c>
      <c r="H19" t="s">
        <v>26</v>
      </c>
      <c r="I19" t="s">
        <v>50</v>
      </c>
      <c r="J19" s="2">
        <v>51000</v>
      </c>
      <c r="K19" s="3">
        <v>45089</v>
      </c>
      <c r="L19" t="s">
        <v>28</v>
      </c>
      <c r="M19" t="s">
        <v>174</v>
      </c>
      <c r="N19" t="s">
        <v>82</v>
      </c>
      <c r="O19" s="2">
        <f t="shared" si="0"/>
        <v>51000</v>
      </c>
      <c r="P19" s="2">
        <f t="shared" si="1"/>
        <v>612000</v>
      </c>
      <c r="Q19" s="13" t="s">
        <v>42</v>
      </c>
      <c r="R19" s="9" t="s">
        <v>43</v>
      </c>
      <c r="S19" s="3">
        <v>31596</v>
      </c>
    </row>
    <row r="20" spans="1:19" ht="27.6">
      <c r="A20" t="s">
        <v>175</v>
      </c>
      <c r="B20" t="s">
        <v>176</v>
      </c>
      <c r="C20" t="s">
        <v>177</v>
      </c>
      <c r="D20" t="s">
        <v>22</v>
      </c>
      <c r="E20" t="s">
        <v>178</v>
      </c>
      <c r="F20" t="s">
        <v>179</v>
      </c>
      <c r="G20" t="s">
        <v>180</v>
      </c>
      <c r="H20" t="s">
        <v>26</v>
      </c>
      <c r="I20" t="s">
        <v>61</v>
      </c>
      <c r="J20" s="2">
        <v>59000</v>
      </c>
      <c r="K20" s="3">
        <v>45098</v>
      </c>
      <c r="L20" t="s">
        <v>28</v>
      </c>
      <c r="M20" t="s">
        <v>181</v>
      </c>
      <c r="N20" t="s">
        <v>98</v>
      </c>
      <c r="O20" s="2">
        <f t="shared" si="0"/>
        <v>59000</v>
      </c>
      <c r="P20" s="2">
        <f t="shared" si="1"/>
        <v>708000</v>
      </c>
      <c r="Q20" s="13" t="s">
        <v>182</v>
      </c>
      <c r="R20" s="9" t="s">
        <v>54</v>
      </c>
      <c r="S20" s="3">
        <v>34317</v>
      </c>
    </row>
    <row r="21" spans="1:19">
      <c r="A21" t="s">
        <v>183</v>
      </c>
      <c r="B21" t="s">
        <v>184</v>
      </c>
      <c r="C21" t="s">
        <v>185</v>
      </c>
      <c r="D21" t="s">
        <v>22</v>
      </c>
      <c r="E21" t="s">
        <v>186</v>
      </c>
      <c r="F21" t="s">
        <v>187</v>
      </c>
      <c r="G21" t="s">
        <v>188</v>
      </c>
      <c r="H21" t="s">
        <v>26</v>
      </c>
      <c r="I21" t="s">
        <v>71</v>
      </c>
      <c r="J21" s="2">
        <v>63000</v>
      </c>
      <c r="K21" s="3">
        <v>45107</v>
      </c>
      <c r="L21" t="s">
        <v>28</v>
      </c>
      <c r="M21" t="s">
        <v>189</v>
      </c>
      <c r="N21" t="s">
        <v>106</v>
      </c>
      <c r="O21" s="2">
        <f t="shared" si="0"/>
        <v>63000</v>
      </c>
      <c r="P21" s="2">
        <f t="shared" si="1"/>
        <v>756000</v>
      </c>
      <c r="Q21" s="13" t="s">
        <v>63</v>
      </c>
      <c r="R21" s="9" t="s">
        <v>64</v>
      </c>
      <c r="S21" s="3">
        <v>36671</v>
      </c>
    </row>
    <row r="22" spans="1:19" ht="27.6">
      <c r="A22" t="s">
        <v>190</v>
      </c>
      <c r="B22" t="s">
        <v>191</v>
      </c>
      <c r="C22" t="s">
        <v>192</v>
      </c>
      <c r="D22" t="s">
        <v>22</v>
      </c>
      <c r="E22" t="s">
        <v>193</v>
      </c>
      <c r="F22" t="s">
        <v>194</v>
      </c>
      <c r="G22" t="s">
        <v>195</v>
      </c>
      <c r="H22" t="s">
        <v>26</v>
      </c>
      <c r="I22" t="s">
        <v>27</v>
      </c>
      <c r="J22" s="2">
        <v>55000</v>
      </c>
      <c r="K22" s="3">
        <v>45116</v>
      </c>
      <c r="L22" t="s">
        <v>28</v>
      </c>
      <c r="M22" t="s">
        <v>196</v>
      </c>
      <c r="N22" t="s">
        <v>82</v>
      </c>
      <c r="O22" s="2">
        <f t="shared" si="0"/>
        <v>55000</v>
      </c>
      <c r="P22" s="2">
        <f t="shared" si="1"/>
        <v>660000</v>
      </c>
      <c r="Q22" s="13" t="s">
        <v>31</v>
      </c>
      <c r="R22" s="9" t="s">
        <v>32</v>
      </c>
      <c r="S22" s="3">
        <v>28771</v>
      </c>
    </row>
    <row r="23" spans="1:19">
      <c r="A23" t="s">
        <v>197</v>
      </c>
      <c r="B23" t="s">
        <v>198</v>
      </c>
      <c r="C23" t="s">
        <v>199</v>
      </c>
      <c r="D23" t="s">
        <v>22</v>
      </c>
      <c r="E23" t="s">
        <v>200</v>
      </c>
      <c r="F23" t="s">
        <v>201</v>
      </c>
      <c r="G23" t="s">
        <v>202</v>
      </c>
      <c r="H23" t="s">
        <v>26</v>
      </c>
      <c r="I23" t="s">
        <v>39</v>
      </c>
      <c r="J23" s="2">
        <v>73000</v>
      </c>
      <c r="K23" s="3">
        <v>45125</v>
      </c>
      <c r="L23" t="s">
        <v>28</v>
      </c>
      <c r="M23" t="s">
        <v>203</v>
      </c>
      <c r="N23" t="s">
        <v>204</v>
      </c>
      <c r="O23" s="2">
        <f t="shared" si="0"/>
        <v>73000</v>
      </c>
      <c r="P23" s="2">
        <f t="shared" si="1"/>
        <v>876000</v>
      </c>
      <c r="Q23" s="13" t="s">
        <v>42</v>
      </c>
      <c r="R23" s="9" t="s">
        <v>43</v>
      </c>
      <c r="S23" s="3">
        <v>31125</v>
      </c>
    </row>
    <row r="24" spans="1:19">
      <c r="A24" t="s">
        <v>205</v>
      </c>
      <c r="B24" t="s">
        <v>206</v>
      </c>
      <c r="C24" t="s">
        <v>207</v>
      </c>
      <c r="D24" t="s">
        <v>22</v>
      </c>
      <c r="E24" t="s">
        <v>208</v>
      </c>
      <c r="F24" t="s">
        <v>209</v>
      </c>
      <c r="G24" t="s">
        <v>210</v>
      </c>
      <c r="H24" t="s">
        <v>26</v>
      </c>
      <c r="I24" t="s">
        <v>50</v>
      </c>
      <c r="J24" s="2">
        <v>91000</v>
      </c>
      <c r="K24" s="3">
        <v>45134</v>
      </c>
      <c r="L24" t="s">
        <v>28</v>
      </c>
      <c r="M24" t="s">
        <v>211</v>
      </c>
      <c r="N24" t="s">
        <v>82</v>
      </c>
      <c r="O24" s="2">
        <f t="shared" si="0"/>
        <v>91000</v>
      </c>
      <c r="P24" s="2">
        <f t="shared" si="1"/>
        <v>1092000</v>
      </c>
      <c r="Q24" s="13" t="s">
        <v>53</v>
      </c>
      <c r="R24" s="9" t="s">
        <v>54</v>
      </c>
      <c r="S24" s="3">
        <v>33818</v>
      </c>
    </row>
    <row r="25" spans="1:19">
      <c r="A25" t="s">
        <v>212</v>
      </c>
      <c r="B25" t="s">
        <v>213</v>
      </c>
      <c r="C25" t="s">
        <v>214</v>
      </c>
      <c r="D25" t="s">
        <v>22</v>
      </c>
      <c r="E25" t="s">
        <v>215</v>
      </c>
      <c r="F25" t="s">
        <v>216</v>
      </c>
      <c r="G25" t="s">
        <v>217</v>
      </c>
      <c r="H25" t="s">
        <v>26</v>
      </c>
      <c r="I25" t="s">
        <v>61</v>
      </c>
      <c r="J25" s="2">
        <v>78000</v>
      </c>
      <c r="K25" s="3">
        <v>45143</v>
      </c>
      <c r="L25" t="s">
        <v>218</v>
      </c>
      <c r="M25" t="s">
        <v>219</v>
      </c>
      <c r="N25" t="s">
        <v>73</v>
      </c>
      <c r="O25" s="2">
        <f t="shared" si="0"/>
        <v>78000</v>
      </c>
      <c r="P25" s="2">
        <f t="shared" si="1"/>
        <v>936000</v>
      </c>
      <c r="Q25" s="13" t="s">
        <v>63</v>
      </c>
      <c r="R25" s="9" t="s">
        <v>64</v>
      </c>
      <c r="S25" s="3">
        <v>36173</v>
      </c>
    </row>
    <row r="26" spans="1:19" ht="27.6">
      <c r="A26" t="s">
        <v>220</v>
      </c>
      <c r="B26" t="s">
        <v>221</v>
      </c>
      <c r="C26" t="s">
        <v>222</v>
      </c>
      <c r="D26" t="s">
        <v>22</v>
      </c>
      <c r="E26" t="s">
        <v>223</v>
      </c>
      <c r="F26" t="s">
        <v>224</v>
      </c>
      <c r="G26" t="s">
        <v>225</v>
      </c>
      <c r="H26" t="s">
        <v>26</v>
      </c>
      <c r="I26" t="s">
        <v>71</v>
      </c>
      <c r="J26" s="2">
        <v>83000</v>
      </c>
      <c r="K26" s="3">
        <v>45152</v>
      </c>
      <c r="L26" t="s">
        <v>218</v>
      </c>
      <c r="M26" t="s">
        <v>226</v>
      </c>
      <c r="N26" t="s">
        <v>106</v>
      </c>
      <c r="O26" s="2">
        <f t="shared" si="0"/>
        <v>83000</v>
      </c>
      <c r="P26" s="2">
        <f t="shared" si="1"/>
        <v>996000</v>
      </c>
      <c r="Q26" s="13" t="s">
        <v>74</v>
      </c>
      <c r="R26" s="9" t="s">
        <v>32</v>
      </c>
      <c r="S26" s="3">
        <v>28300</v>
      </c>
    </row>
    <row r="27" spans="1:19" ht="27.6">
      <c r="A27" t="s">
        <v>227</v>
      </c>
      <c r="B27" t="s">
        <v>228</v>
      </c>
      <c r="C27" t="s">
        <v>229</v>
      </c>
      <c r="D27" t="s">
        <v>22</v>
      </c>
      <c r="E27" t="s">
        <v>230</v>
      </c>
      <c r="F27" t="s">
        <v>231</v>
      </c>
      <c r="G27" t="s">
        <v>232</v>
      </c>
      <c r="H27" t="s">
        <v>233</v>
      </c>
      <c r="I27" t="s">
        <v>234</v>
      </c>
      <c r="J27" s="2">
        <v>97000</v>
      </c>
      <c r="K27" s="3">
        <v>45161</v>
      </c>
      <c r="L27" t="s">
        <v>28</v>
      </c>
      <c r="M27" t="s">
        <v>235</v>
      </c>
      <c r="N27" t="s">
        <v>52</v>
      </c>
      <c r="O27" s="2">
        <f t="shared" si="0"/>
        <v>97000</v>
      </c>
      <c r="P27" s="2">
        <f t="shared" si="1"/>
        <v>1164000</v>
      </c>
      <c r="Q27" s="13" t="s">
        <v>31</v>
      </c>
      <c r="R27" s="9" t="s">
        <v>32</v>
      </c>
      <c r="S27" s="3">
        <v>30993</v>
      </c>
    </row>
    <row r="28" spans="1:19" ht="27.6">
      <c r="A28" t="s">
        <v>236</v>
      </c>
      <c r="B28" t="s">
        <v>237</v>
      </c>
      <c r="C28" t="s">
        <v>238</v>
      </c>
      <c r="D28" t="s">
        <v>22</v>
      </c>
      <c r="E28" t="s">
        <v>239</v>
      </c>
      <c r="F28" t="s">
        <v>240</v>
      </c>
      <c r="G28" t="s">
        <v>241</v>
      </c>
      <c r="H28" t="s">
        <v>233</v>
      </c>
      <c r="I28" t="s">
        <v>242</v>
      </c>
      <c r="J28" s="2">
        <v>160000</v>
      </c>
      <c r="K28" s="3">
        <v>45170</v>
      </c>
      <c r="L28" t="s">
        <v>28</v>
      </c>
      <c r="M28" t="s">
        <v>243</v>
      </c>
      <c r="N28" t="s">
        <v>106</v>
      </c>
      <c r="O28" s="2">
        <f t="shared" si="0"/>
        <v>160000</v>
      </c>
      <c r="P28" s="2">
        <f t="shared" si="1"/>
        <v>1920000</v>
      </c>
      <c r="Q28" s="13" t="s">
        <v>74</v>
      </c>
      <c r="R28" s="9" t="s">
        <v>244</v>
      </c>
      <c r="S28" s="3">
        <v>33346</v>
      </c>
    </row>
    <row r="29" spans="1:19">
      <c r="A29" t="s">
        <v>245</v>
      </c>
      <c r="B29" t="s">
        <v>246</v>
      </c>
      <c r="C29" t="s">
        <v>247</v>
      </c>
      <c r="D29" t="s">
        <v>22</v>
      </c>
      <c r="E29" t="s">
        <v>248</v>
      </c>
      <c r="F29" t="s">
        <v>249</v>
      </c>
      <c r="G29" t="s">
        <v>250</v>
      </c>
      <c r="H29" t="s">
        <v>233</v>
      </c>
      <c r="I29" t="s">
        <v>251</v>
      </c>
      <c r="J29" s="2">
        <v>102000</v>
      </c>
      <c r="K29" s="3">
        <v>45179</v>
      </c>
      <c r="L29" t="s">
        <v>28</v>
      </c>
      <c r="M29" t="s">
        <v>252</v>
      </c>
      <c r="N29" t="s">
        <v>204</v>
      </c>
      <c r="O29" s="2">
        <f t="shared" si="0"/>
        <v>102000</v>
      </c>
      <c r="P29" s="2">
        <f t="shared" si="1"/>
        <v>1224000</v>
      </c>
      <c r="Q29" s="13" t="s">
        <v>137</v>
      </c>
      <c r="R29" s="9" t="s">
        <v>253</v>
      </c>
      <c r="S29" s="3">
        <v>36039</v>
      </c>
    </row>
    <row r="30" spans="1:19">
      <c r="A30" t="s">
        <v>254</v>
      </c>
      <c r="B30" t="s">
        <v>255</v>
      </c>
      <c r="C30" t="s">
        <v>256</v>
      </c>
      <c r="D30" t="s">
        <v>22</v>
      </c>
      <c r="E30" t="s">
        <v>257</v>
      </c>
      <c r="F30" t="s">
        <v>258</v>
      </c>
      <c r="G30" t="s">
        <v>259</v>
      </c>
      <c r="H30" t="s">
        <v>233</v>
      </c>
      <c r="I30" t="s">
        <v>260</v>
      </c>
      <c r="J30" s="2">
        <v>180000</v>
      </c>
      <c r="K30" s="3">
        <v>45188</v>
      </c>
      <c r="L30" t="s">
        <v>28</v>
      </c>
      <c r="M30" t="s">
        <v>261</v>
      </c>
      <c r="N30" t="s">
        <v>106</v>
      </c>
      <c r="O30" s="2">
        <f t="shared" si="0"/>
        <v>180000</v>
      </c>
      <c r="P30" s="2">
        <f t="shared" si="1"/>
        <v>2160000</v>
      </c>
      <c r="Q30" s="13" t="s">
        <v>107</v>
      </c>
      <c r="R30" s="9" t="s">
        <v>262</v>
      </c>
      <c r="S30" s="3">
        <v>27802</v>
      </c>
    </row>
    <row r="31" spans="1:19" ht="27.6">
      <c r="A31" t="s">
        <v>263</v>
      </c>
      <c r="B31" t="s">
        <v>264</v>
      </c>
      <c r="C31" t="s">
        <v>265</v>
      </c>
      <c r="D31" t="s">
        <v>22</v>
      </c>
      <c r="E31" t="s">
        <v>266</v>
      </c>
      <c r="F31" t="s">
        <v>267</v>
      </c>
      <c r="G31" t="s">
        <v>268</v>
      </c>
      <c r="H31" t="s">
        <v>233</v>
      </c>
      <c r="I31" t="s">
        <v>269</v>
      </c>
      <c r="J31" s="2">
        <v>105000</v>
      </c>
      <c r="K31" s="3">
        <v>45197</v>
      </c>
      <c r="L31" t="s">
        <v>28</v>
      </c>
      <c r="M31" t="s">
        <v>270</v>
      </c>
      <c r="N31" t="s">
        <v>106</v>
      </c>
      <c r="O31" s="2">
        <f t="shared" si="0"/>
        <v>105000</v>
      </c>
      <c r="P31" s="2">
        <f t="shared" si="1"/>
        <v>1260000</v>
      </c>
      <c r="Q31" s="13" t="s">
        <v>74</v>
      </c>
      <c r="R31" s="9" t="s">
        <v>32</v>
      </c>
      <c r="S31" s="3">
        <v>30520</v>
      </c>
    </row>
    <row r="32" spans="1:19">
      <c r="A32" t="s">
        <v>271</v>
      </c>
      <c r="B32" t="s">
        <v>272</v>
      </c>
      <c r="C32" t="s">
        <v>273</v>
      </c>
      <c r="D32" t="s">
        <v>22</v>
      </c>
      <c r="E32" t="s">
        <v>274</v>
      </c>
      <c r="F32" t="s">
        <v>275</v>
      </c>
      <c r="G32" t="s">
        <v>276</v>
      </c>
      <c r="H32" t="s">
        <v>233</v>
      </c>
      <c r="I32" t="s">
        <v>234</v>
      </c>
      <c r="J32" s="2">
        <v>113000</v>
      </c>
      <c r="K32" s="3">
        <v>45206</v>
      </c>
      <c r="L32" t="s">
        <v>28</v>
      </c>
      <c r="M32" t="s">
        <v>277</v>
      </c>
      <c r="N32" t="s">
        <v>73</v>
      </c>
      <c r="O32" s="2">
        <f t="shared" si="0"/>
        <v>113000</v>
      </c>
      <c r="P32" s="2">
        <f t="shared" si="1"/>
        <v>1356000</v>
      </c>
      <c r="Q32" s="13" t="s">
        <v>107</v>
      </c>
      <c r="R32" s="9" t="s">
        <v>244</v>
      </c>
      <c r="S32" s="3">
        <v>33213</v>
      </c>
    </row>
    <row r="33" spans="1:19" ht="27.6">
      <c r="A33" t="s">
        <v>278</v>
      </c>
      <c r="B33" t="s">
        <v>279</v>
      </c>
      <c r="C33" t="s">
        <v>280</v>
      </c>
      <c r="D33" t="s">
        <v>22</v>
      </c>
      <c r="E33" t="s">
        <v>281</v>
      </c>
      <c r="F33" t="s">
        <v>282</v>
      </c>
      <c r="G33" t="s">
        <v>283</v>
      </c>
      <c r="H33" t="s">
        <v>233</v>
      </c>
      <c r="I33" t="s">
        <v>242</v>
      </c>
      <c r="J33" s="2">
        <v>195000</v>
      </c>
      <c r="K33" s="3">
        <v>45215</v>
      </c>
      <c r="L33" t="s">
        <v>28</v>
      </c>
      <c r="M33" t="s">
        <v>284</v>
      </c>
      <c r="N33" t="s">
        <v>30</v>
      </c>
      <c r="O33" s="2">
        <f t="shared" si="0"/>
        <v>195000</v>
      </c>
      <c r="P33" s="2">
        <f t="shared" si="1"/>
        <v>2340000</v>
      </c>
      <c r="Q33" s="13" t="s">
        <v>167</v>
      </c>
      <c r="R33" s="9" t="s">
        <v>253</v>
      </c>
      <c r="S33" s="3">
        <v>35567</v>
      </c>
    </row>
    <row r="34" spans="1:19">
      <c r="A34" t="s">
        <v>285</v>
      </c>
      <c r="B34" t="s">
        <v>286</v>
      </c>
      <c r="C34" t="s">
        <v>287</v>
      </c>
      <c r="D34" t="s">
        <v>22</v>
      </c>
      <c r="E34" t="s">
        <v>288</v>
      </c>
      <c r="F34" t="s">
        <v>289</v>
      </c>
      <c r="G34" t="s">
        <v>290</v>
      </c>
      <c r="H34" t="s">
        <v>233</v>
      </c>
      <c r="I34" t="s">
        <v>251</v>
      </c>
      <c r="J34" s="2">
        <v>137000</v>
      </c>
      <c r="K34" s="3">
        <v>45224</v>
      </c>
      <c r="L34" t="s">
        <v>28</v>
      </c>
      <c r="M34" t="s">
        <v>291</v>
      </c>
      <c r="N34" t="s">
        <v>52</v>
      </c>
      <c r="O34" s="2">
        <f t="shared" si="0"/>
        <v>137000</v>
      </c>
      <c r="P34" s="2">
        <f t="shared" si="1"/>
        <v>1644000</v>
      </c>
      <c r="Q34" s="13" t="s">
        <v>137</v>
      </c>
      <c r="R34" s="9" t="s">
        <v>262</v>
      </c>
      <c r="S34" s="3">
        <v>38288</v>
      </c>
    </row>
    <row r="35" spans="1:19">
      <c r="A35" t="s">
        <v>292</v>
      </c>
      <c r="B35" t="s">
        <v>293</v>
      </c>
      <c r="C35" t="s">
        <v>294</v>
      </c>
      <c r="D35" t="s">
        <v>22</v>
      </c>
      <c r="E35" t="s">
        <v>295</v>
      </c>
      <c r="F35" t="s">
        <v>296</v>
      </c>
      <c r="G35" t="s">
        <v>297</v>
      </c>
      <c r="H35" t="s">
        <v>233</v>
      </c>
      <c r="I35" t="s">
        <v>260</v>
      </c>
      <c r="J35" s="2">
        <v>151000</v>
      </c>
      <c r="K35" s="3">
        <v>45233</v>
      </c>
      <c r="L35" t="s">
        <v>28</v>
      </c>
      <c r="M35" t="s">
        <v>298</v>
      </c>
      <c r="N35" t="s">
        <v>98</v>
      </c>
      <c r="O35" s="2">
        <f t="shared" si="0"/>
        <v>151000</v>
      </c>
      <c r="P35" s="2">
        <f t="shared" si="1"/>
        <v>1812000</v>
      </c>
      <c r="Q35" s="13" t="s">
        <v>107</v>
      </c>
      <c r="R35" s="9" t="s">
        <v>32</v>
      </c>
      <c r="S35" s="3">
        <v>30021</v>
      </c>
    </row>
    <row r="36" spans="1:19">
      <c r="A36" t="s">
        <v>299</v>
      </c>
      <c r="B36" t="s">
        <v>300</v>
      </c>
      <c r="C36" t="s">
        <v>301</v>
      </c>
      <c r="D36" t="s">
        <v>22</v>
      </c>
      <c r="E36" t="s">
        <v>302</v>
      </c>
      <c r="F36" t="s">
        <v>303</v>
      </c>
      <c r="G36" t="s">
        <v>304</v>
      </c>
      <c r="H36" t="s">
        <v>233</v>
      </c>
      <c r="I36" t="s">
        <v>269</v>
      </c>
      <c r="J36" s="2">
        <v>152000</v>
      </c>
      <c r="K36" s="3">
        <v>45242</v>
      </c>
      <c r="L36" t="s">
        <v>28</v>
      </c>
      <c r="M36" t="s">
        <v>305</v>
      </c>
      <c r="N36" t="s">
        <v>98</v>
      </c>
      <c r="O36" s="2">
        <f t="shared" si="0"/>
        <v>152000</v>
      </c>
      <c r="P36" s="2">
        <f t="shared" si="1"/>
        <v>1824000</v>
      </c>
      <c r="Q36" s="13" t="s">
        <v>137</v>
      </c>
      <c r="R36" s="9" t="s">
        <v>244</v>
      </c>
      <c r="S36" s="3">
        <v>32742</v>
      </c>
    </row>
    <row r="37" spans="1:19" ht="27.6">
      <c r="A37" t="s">
        <v>306</v>
      </c>
      <c r="B37" t="s">
        <v>307</v>
      </c>
      <c r="C37" t="s">
        <v>308</v>
      </c>
      <c r="D37" t="s">
        <v>22</v>
      </c>
      <c r="E37" t="s">
        <v>309</v>
      </c>
      <c r="F37" t="s">
        <v>310</v>
      </c>
      <c r="G37" t="s">
        <v>311</v>
      </c>
      <c r="H37" t="s">
        <v>233</v>
      </c>
      <c r="I37" t="s">
        <v>234</v>
      </c>
      <c r="J37" s="2">
        <v>173000</v>
      </c>
      <c r="K37" s="3">
        <v>45251</v>
      </c>
      <c r="L37" t="s">
        <v>28</v>
      </c>
      <c r="M37" t="s">
        <v>312</v>
      </c>
      <c r="N37" t="s">
        <v>41</v>
      </c>
      <c r="O37" s="2">
        <f t="shared" si="0"/>
        <v>173000</v>
      </c>
      <c r="P37" s="2">
        <f t="shared" si="1"/>
        <v>2076000</v>
      </c>
      <c r="Q37" s="13" t="s">
        <v>31</v>
      </c>
      <c r="R37" s="9" t="s">
        <v>253</v>
      </c>
      <c r="S37" s="3">
        <v>35069</v>
      </c>
    </row>
    <row r="38" spans="1:19" ht="27.6">
      <c r="A38" t="s">
        <v>313</v>
      </c>
      <c r="B38" t="s">
        <v>314</v>
      </c>
      <c r="C38" t="s">
        <v>92</v>
      </c>
      <c r="D38" t="s">
        <v>22</v>
      </c>
      <c r="E38" t="s">
        <v>315</v>
      </c>
      <c r="F38" t="s">
        <v>316</v>
      </c>
      <c r="G38" t="s">
        <v>317</v>
      </c>
      <c r="H38" t="s">
        <v>233</v>
      </c>
      <c r="I38" t="s">
        <v>242</v>
      </c>
      <c r="J38" s="2">
        <v>151000</v>
      </c>
      <c r="K38" s="3">
        <v>45260</v>
      </c>
      <c r="L38" t="s">
        <v>28</v>
      </c>
      <c r="M38" t="s">
        <v>318</v>
      </c>
      <c r="N38" t="s">
        <v>82</v>
      </c>
      <c r="O38" s="2">
        <f t="shared" si="0"/>
        <v>151000</v>
      </c>
      <c r="P38" s="2">
        <f t="shared" si="1"/>
        <v>1812000</v>
      </c>
      <c r="Q38" s="13" t="s">
        <v>167</v>
      </c>
      <c r="R38" s="9" t="s">
        <v>262</v>
      </c>
      <c r="S38" s="3">
        <v>37788</v>
      </c>
    </row>
    <row r="39" spans="1:19">
      <c r="A39" t="s">
        <v>319</v>
      </c>
      <c r="B39" t="s">
        <v>320</v>
      </c>
      <c r="C39" t="s">
        <v>321</v>
      </c>
      <c r="D39" t="s">
        <v>22</v>
      </c>
      <c r="E39" t="s">
        <v>322</v>
      </c>
      <c r="F39" t="s">
        <v>323</v>
      </c>
      <c r="G39" t="s">
        <v>324</v>
      </c>
      <c r="H39" t="s">
        <v>233</v>
      </c>
      <c r="I39" t="s">
        <v>251</v>
      </c>
      <c r="J39" s="2">
        <v>163000</v>
      </c>
      <c r="K39" s="3">
        <v>45269</v>
      </c>
      <c r="L39" t="s">
        <v>28</v>
      </c>
      <c r="M39" t="s">
        <v>325</v>
      </c>
      <c r="N39" t="s">
        <v>98</v>
      </c>
      <c r="O39" s="2">
        <f t="shared" si="0"/>
        <v>163000</v>
      </c>
      <c r="P39" s="2">
        <f t="shared" si="1"/>
        <v>1956000</v>
      </c>
      <c r="Q39" s="13" t="s">
        <v>137</v>
      </c>
      <c r="R39" s="9" t="s">
        <v>32</v>
      </c>
      <c r="S39" s="3">
        <v>29917</v>
      </c>
    </row>
    <row r="40" spans="1:19" ht="27.6">
      <c r="A40" t="s">
        <v>326</v>
      </c>
      <c r="B40" t="s">
        <v>327</v>
      </c>
      <c r="C40" t="s">
        <v>328</v>
      </c>
      <c r="D40" t="s">
        <v>22</v>
      </c>
      <c r="E40" t="s">
        <v>329</v>
      </c>
      <c r="F40" t="s">
        <v>330</v>
      </c>
      <c r="G40" t="s">
        <v>331</v>
      </c>
      <c r="H40" t="s">
        <v>233</v>
      </c>
      <c r="I40" t="s">
        <v>260</v>
      </c>
      <c r="J40" s="2">
        <v>200000</v>
      </c>
      <c r="K40" s="3">
        <v>45278</v>
      </c>
      <c r="L40" t="s">
        <v>28</v>
      </c>
      <c r="M40" t="s">
        <v>332</v>
      </c>
      <c r="N40" t="s">
        <v>52</v>
      </c>
      <c r="O40" s="2">
        <f t="shared" si="0"/>
        <v>200000</v>
      </c>
      <c r="P40" s="2">
        <f t="shared" si="1"/>
        <v>2400000</v>
      </c>
      <c r="Q40" s="13" t="s">
        <v>167</v>
      </c>
      <c r="R40" s="9" t="s">
        <v>244</v>
      </c>
      <c r="S40" s="3">
        <v>32243</v>
      </c>
    </row>
    <row r="41" spans="1:19" ht="27.6">
      <c r="A41" t="s">
        <v>333</v>
      </c>
      <c r="B41" t="s">
        <v>334</v>
      </c>
      <c r="C41" t="s">
        <v>335</v>
      </c>
      <c r="D41" t="s">
        <v>22</v>
      </c>
      <c r="E41" t="s">
        <v>336</v>
      </c>
      <c r="F41" t="s">
        <v>337</v>
      </c>
      <c r="G41" t="s">
        <v>338</v>
      </c>
      <c r="H41" t="s">
        <v>233</v>
      </c>
      <c r="I41" t="s">
        <v>269</v>
      </c>
      <c r="J41" s="2">
        <v>101000</v>
      </c>
      <c r="K41" s="3">
        <v>45287</v>
      </c>
      <c r="L41" t="s">
        <v>28</v>
      </c>
      <c r="M41" t="s">
        <v>339</v>
      </c>
      <c r="N41" t="s">
        <v>204</v>
      </c>
      <c r="O41" s="2">
        <f t="shared" si="0"/>
        <v>101000</v>
      </c>
      <c r="P41" s="2">
        <f t="shared" si="1"/>
        <v>1212000</v>
      </c>
      <c r="Q41" s="13" t="s">
        <v>74</v>
      </c>
      <c r="R41" s="9" t="s">
        <v>253</v>
      </c>
      <c r="S41" s="3">
        <v>34963</v>
      </c>
    </row>
    <row r="42" spans="1:19" ht="27.6">
      <c r="A42" t="s">
        <v>340</v>
      </c>
      <c r="B42" t="s">
        <v>341</v>
      </c>
      <c r="C42" t="s">
        <v>342</v>
      </c>
      <c r="D42" t="s">
        <v>22</v>
      </c>
      <c r="E42" t="s">
        <v>343</v>
      </c>
      <c r="F42" t="s">
        <v>344</v>
      </c>
      <c r="G42" t="s">
        <v>345</v>
      </c>
      <c r="H42" t="s">
        <v>233</v>
      </c>
      <c r="I42" t="s">
        <v>234</v>
      </c>
      <c r="J42" s="2">
        <v>136000</v>
      </c>
      <c r="K42" s="3">
        <v>45296</v>
      </c>
      <c r="L42" t="s">
        <v>28</v>
      </c>
      <c r="M42" t="s">
        <v>346</v>
      </c>
      <c r="N42" t="s">
        <v>30</v>
      </c>
      <c r="O42" s="2">
        <f t="shared" si="0"/>
        <v>136000</v>
      </c>
      <c r="P42" s="2">
        <f t="shared" si="1"/>
        <v>1632000</v>
      </c>
      <c r="Q42" s="13" t="s">
        <v>31</v>
      </c>
      <c r="R42" s="9" t="s">
        <v>262</v>
      </c>
      <c r="S42" s="3">
        <v>37291</v>
      </c>
    </row>
    <row r="43" spans="1:19" ht="27.6">
      <c r="A43" t="s">
        <v>347</v>
      </c>
      <c r="B43" t="s">
        <v>348</v>
      </c>
      <c r="C43" t="s">
        <v>349</v>
      </c>
      <c r="D43" t="s">
        <v>22</v>
      </c>
      <c r="E43" t="s">
        <v>350</v>
      </c>
      <c r="F43" t="s">
        <v>351</v>
      </c>
      <c r="G43" t="s">
        <v>352</v>
      </c>
      <c r="H43" t="s">
        <v>233</v>
      </c>
      <c r="I43" t="s">
        <v>242</v>
      </c>
      <c r="J43" s="2">
        <v>189000</v>
      </c>
      <c r="K43" s="3">
        <v>45305</v>
      </c>
      <c r="L43" t="s">
        <v>28</v>
      </c>
      <c r="M43" t="s">
        <v>353</v>
      </c>
      <c r="N43" t="s">
        <v>98</v>
      </c>
      <c r="O43" s="2">
        <f t="shared" si="0"/>
        <v>189000</v>
      </c>
      <c r="P43" s="2">
        <f t="shared" si="1"/>
        <v>2268000</v>
      </c>
      <c r="Q43" s="13" t="s">
        <v>167</v>
      </c>
      <c r="R43" s="9" t="s">
        <v>32</v>
      </c>
      <c r="S43" s="3">
        <v>29417</v>
      </c>
    </row>
    <row r="44" spans="1:19" ht="27.6">
      <c r="A44" t="s">
        <v>354</v>
      </c>
      <c r="B44" t="s">
        <v>355</v>
      </c>
      <c r="C44" t="s">
        <v>356</v>
      </c>
      <c r="D44" t="s">
        <v>22</v>
      </c>
      <c r="E44" t="s">
        <v>357</v>
      </c>
      <c r="F44" t="s">
        <v>358</v>
      </c>
      <c r="G44" t="s">
        <v>359</v>
      </c>
      <c r="H44" t="s">
        <v>233</v>
      </c>
      <c r="I44" t="s">
        <v>251</v>
      </c>
      <c r="J44" s="2">
        <v>151000</v>
      </c>
      <c r="K44" s="3">
        <v>45314</v>
      </c>
      <c r="L44" t="s">
        <v>28</v>
      </c>
      <c r="M44" t="s">
        <v>360</v>
      </c>
      <c r="N44" t="s">
        <v>52</v>
      </c>
      <c r="O44" s="2">
        <f t="shared" si="0"/>
        <v>151000</v>
      </c>
      <c r="P44" s="2">
        <f t="shared" si="1"/>
        <v>1812000</v>
      </c>
      <c r="Q44" s="13" t="s">
        <v>31</v>
      </c>
      <c r="R44" s="9" t="s">
        <v>244</v>
      </c>
      <c r="S44" s="3">
        <v>32137</v>
      </c>
    </row>
    <row r="45" spans="1:19">
      <c r="A45" t="s">
        <v>361</v>
      </c>
      <c r="B45" t="s">
        <v>362</v>
      </c>
      <c r="C45" t="s">
        <v>363</v>
      </c>
      <c r="D45" t="s">
        <v>22</v>
      </c>
      <c r="E45" t="s">
        <v>364</v>
      </c>
      <c r="F45" t="s">
        <v>365</v>
      </c>
      <c r="G45" t="s">
        <v>366</v>
      </c>
      <c r="H45" t="s">
        <v>233</v>
      </c>
      <c r="I45" t="s">
        <v>260</v>
      </c>
      <c r="J45" s="2">
        <v>127000</v>
      </c>
      <c r="K45" s="3">
        <v>45323</v>
      </c>
      <c r="L45" t="s">
        <v>28</v>
      </c>
      <c r="M45" t="s">
        <v>367</v>
      </c>
      <c r="N45" t="s">
        <v>204</v>
      </c>
      <c r="O45" s="2">
        <f t="shared" si="0"/>
        <v>127000</v>
      </c>
      <c r="P45" s="2">
        <f t="shared" si="1"/>
        <v>1524000</v>
      </c>
      <c r="Q45" s="13" t="s">
        <v>107</v>
      </c>
      <c r="R45" s="9" t="s">
        <v>253</v>
      </c>
      <c r="S45" s="3">
        <v>34463</v>
      </c>
    </row>
    <row r="46" spans="1:19" ht="27.6">
      <c r="A46" t="s">
        <v>368</v>
      </c>
      <c r="B46" t="s">
        <v>369</v>
      </c>
      <c r="C46" t="s">
        <v>370</v>
      </c>
      <c r="D46" t="s">
        <v>22</v>
      </c>
      <c r="E46" t="s">
        <v>371</v>
      </c>
      <c r="F46" t="s">
        <v>372</v>
      </c>
      <c r="G46" t="s">
        <v>373</v>
      </c>
      <c r="H46" t="s">
        <v>233</v>
      </c>
      <c r="I46" t="s">
        <v>269</v>
      </c>
      <c r="J46" s="2">
        <v>88000</v>
      </c>
      <c r="K46" s="3">
        <v>45332</v>
      </c>
      <c r="L46" t="s">
        <v>28</v>
      </c>
      <c r="M46" t="s">
        <v>374</v>
      </c>
      <c r="N46" t="s">
        <v>30</v>
      </c>
      <c r="O46" s="2">
        <f t="shared" si="0"/>
        <v>88000</v>
      </c>
      <c r="P46" s="2">
        <f t="shared" si="1"/>
        <v>1056000</v>
      </c>
      <c r="Q46" s="13" t="s">
        <v>74</v>
      </c>
      <c r="R46" s="9" t="s">
        <v>262</v>
      </c>
      <c r="S46" s="3">
        <v>37184</v>
      </c>
    </row>
    <row r="47" spans="1:19" ht="27.6">
      <c r="A47" t="s">
        <v>375</v>
      </c>
      <c r="B47" t="s">
        <v>376</v>
      </c>
      <c r="C47" t="s">
        <v>377</v>
      </c>
      <c r="D47" t="s">
        <v>22</v>
      </c>
      <c r="E47" t="s">
        <v>378</v>
      </c>
      <c r="F47" t="s">
        <v>379</v>
      </c>
      <c r="G47" t="s">
        <v>380</v>
      </c>
      <c r="H47" t="s">
        <v>233</v>
      </c>
      <c r="I47" t="s">
        <v>234</v>
      </c>
      <c r="J47" s="2">
        <v>135000</v>
      </c>
      <c r="K47" s="3">
        <v>45341</v>
      </c>
      <c r="L47" t="s">
        <v>28</v>
      </c>
      <c r="M47" t="s">
        <v>381</v>
      </c>
      <c r="N47" t="s">
        <v>30</v>
      </c>
      <c r="O47" s="2">
        <f t="shared" si="0"/>
        <v>135000</v>
      </c>
      <c r="P47" s="2">
        <f t="shared" si="1"/>
        <v>1620000</v>
      </c>
      <c r="Q47" s="13" t="s">
        <v>31</v>
      </c>
      <c r="R47" s="9" t="s">
        <v>32</v>
      </c>
      <c r="S47" s="3">
        <v>28917</v>
      </c>
    </row>
    <row r="48" spans="1:19" ht="27.6">
      <c r="A48" t="s">
        <v>382</v>
      </c>
      <c r="B48" t="s">
        <v>383</v>
      </c>
      <c r="C48" t="s">
        <v>384</v>
      </c>
      <c r="D48" t="s">
        <v>22</v>
      </c>
      <c r="E48" t="s">
        <v>385</v>
      </c>
      <c r="F48" t="s">
        <v>386</v>
      </c>
      <c r="G48" t="s">
        <v>387</v>
      </c>
      <c r="H48" t="s">
        <v>233</v>
      </c>
      <c r="I48" t="s">
        <v>242</v>
      </c>
      <c r="J48" s="2">
        <v>184000</v>
      </c>
      <c r="K48" s="3">
        <v>45350</v>
      </c>
      <c r="L48" t="s">
        <v>28</v>
      </c>
      <c r="M48" t="s">
        <v>388</v>
      </c>
      <c r="N48" t="s">
        <v>73</v>
      </c>
      <c r="O48" s="2">
        <f t="shared" si="0"/>
        <v>184000</v>
      </c>
      <c r="P48" s="2">
        <f t="shared" si="1"/>
        <v>2208000</v>
      </c>
      <c r="Q48" s="13" t="s">
        <v>74</v>
      </c>
      <c r="R48" s="9" t="s">
        <v>244</v>
      </c>
      <c r="S48" s="3">
        <v>31638</v>
      </c>
    </row>
    <row r="49" spans="1:19">
      <c r="A49" t="s">
        <v>389</v>
      </c>
      <c r="B49" t="s">
        <v>390</v>
      </c>
      <c r="C49" t="s">
        <v>391</v>
      </c>
      <c r="D49" t="s">
        <v>22</v>
      </c>
      <c r="E49" t="s">
        <v>392</v>
      </c>
      <c r="F49" t="s">
        <v>393</v>
      </c>
      <c r="G49" t="s">
        <v>394</v>
      </c>
      <c r="H49" t="s">
        <v>233</v>
      </c>
      <c r="I49" t="s">
        <v>251</v>
      </c>
      <c r="J49" s="2">
        <v>152000</v>
      </c>
      <c r="K49" s="3">
        <v>45359</v>
      </c>
      <c r="L49" t="s">
        <v>218</v>
      </c>
      <c r="M49" t="s">
        <v>395</v>
      </c>
      <c r="N49" t="s">
        <v>30</v>
      </c>
      <c r="O49" s="2">
        <f t="shared" si="0"/>
        <v>152000</v>
      </c>
      <c r="P49" s="2">
        <f t="shared" si="1"/>
        <v>1824000</v>
      </c>
      <c r="Q49" s="13" t="s">
        <v>137</v>
      </c>
      <c r="R49" s="9" t="s">
        <v>253</v>
      </c>
      <c r="S49" s="3">
        <v>33994</v>
      </c>
    </row>
    <row r="50" spans="1:19">
      <c r="A50" t="s">
        <v>396</v>
      </c>
      <c r="B50" t="s">
        <v>397</v>
      </c>
      <c r="C50" t="s">
        <v>184</v>
      </c>
      <c r="D50" t="s">
        <v>22</v>
      </c>
      <c r="E50" t="s">
        <v>398</v>
      </c>
      <c r="F50" t="s">
        <v>399</v>
      </c>
      <c r="G50" t="s">
        <v>400</v>
      </c>
      <c r="H50" t="s">
        <v>233</v>
      </c>
      <c r="I50" t="s">
        <v>260</v>
      </c>
      <c r="J50" s="2">
        <v>136000</v>
      </c>
      <c r="K50" s="3">
        <v>45368</v>
      </c>
      <c r="L50" t="s">
        <v>218</v>
      </c>
      <c r="M50" t="s">
        <v>401</v>
      </c>
      <c r="N50" t="s">
        <v>106</v>
      </c>
      <c r="O50" s="2">
        <f t="shared" si="0"/>
        <v>136000</v>
      </c>
      <c r="P50" s="2">
        <f t="shared" si="1"/>
        <v>1632000</v>
      </c>
      <c r="Q50" s="13" t="s">
        <v>107</v>
      </c>
      <c r="R50" s="9" t="s">
        <v>262</v>
      </c>
      <c r="S50" s="3">
        <v>36685</v>
      </c>
    </row>
    <row r="51" spans="1:19" ht="27.6">
      <c r="A51" t="s">
        <v>402</v>
      </c>
      <c r="B51" t="s">
        <v>403</v>
      </c>
      <c r="C51" t="s">
        <v>404</v>
      </c>
      <c r="D51" t="s">
        <v>22</v>
      </c>
      <c r="E51" t="s">
        <v>405</v>
      </c>
      <c r="F51" t="s">
        <v>406</v>
      </c>
      <c r="G51" t="s">
        <v>407</v>
      </c>
      <c r="H51" t="s">
        <v>233</v>
      </c>
      <c r="I51" t="s">
        <v>269</v>
      </c>
      <c r="J51" s="2">
        <v>105000</v>
      </c>
      <c r="K51" s="3">
        <v>45377</v>
      </c>
      <c r="L51" t="s">
        <v>28</v>
      </c>
      <c r="M51" t="s">
        <v>408</v>
      </c>
      <c r="N51" t="s">
        <v>82</v>
      </c>
      <c r="O51" s="2">
        <f t="shared" si="0"/>
        <v>105000</v>
      </c>
      <c r="P51" s="2">
        <f t="shared" si="1"/>
        <v>1260000</v>
      </c>
      <c r="Q51" s="13" t="s">
        <v>74</v>
      </c>
      <c r="R51" s="9" t="s">
        <v>32</v>
      </c>
      <c r="S51" s="3">
        <v>28813</v>
      </c>
    </row>
    <row r="52" spans="1:19" ht="27.6">
      <c r="A52" t="s">
        <v>409</v>
      </c>
      <c r="B52" t="s">
        <v>410</v>
      </c>
      <c r="C52" t="s">
        <v>411</v>
      </c>
      <c r="D52" t="s">
        <v>22</v>
      </c>
      <c r="E52" t="s">
        <v>412</v>
      </c>
      <c r="F52" t="s">
        <v>413</v>
      </c>
      <c r="G52" t="s">
        <v>414</v>
      </c>
      <c r="H52" t="s">
        <v>415</v>
      </c>
      <c r="I52" t="s">
        <v>416</v>
      </c>
      <c r="J52" s="2">
        <v>84000</v>
      </c>
      <c r="K52" s="3">
        <v>45386</v>
      </c>
      <c r="L52" t="s">
        <v>28</v>
      </c>
      <c r="M52" t="s">
        <v>417</v>
      </c>
      <c r="N52" t="s">
        <v>106</v>
      </c>
      <c r="O52" s="2">
        <f t="shared" si="0"/>
        <v>84000</v>
      </c>
      <c r="P52" s="2">
        <f t="shared" si="1"/>
        <v>1008000</v>
      </c>
      <c r="Q52" s="13" t="s">
        <v>418</v>
      </c>
      <c r="R52" s="9" t="s">
        <v>43</v>
      </c>
      <c r="S52" s="3">
        <v>31139</v>
      </c>
    </row>
    <row r="53" spans="1:19" ht="27.6">
      <c r="A53" t="s">
        <v>419</v>
      </c>
      <c r="B53" t="s">
        <v>420</v>
      </c>
      <c r="C53" t="s">
        <v>421</v>
      </c>
      <c r="D53" t="s">
        <v>22</v>
      </c>
      <c r="E53" t="s">
        <v>422</v>
      </c>
      <c r="F53" t="s">
        <v>423</v>
      </c>
      <c r="G53" t="s">
        <v>424</v>
      </c>
      <c r="H53" t="s">
        <v>415</v>
      </c>
      <c r="I53" t="s">
        <v>425</v>
      </c>
      <c r="J53" s="2">
        <v>114000</v>
      </c>
      <c r="K53" s="3">
        <v>45395</v>
      </c>
      <c r="L53" t="s">
        <v>28</v>
      </c>
      <c r="M53" t="s">
        <v>426</v>
      </c>
      <c r="N53" t="s">
        <v>41</v>
      </c>
      <c r="O53" s="2">
        <f t="shared" si="0"/>
        <v>114000</v>
      </c>
      <c r="P53" s="2">
        <f t="shared" si="1"/>
        <v>1368000</v>
      </c>
      <c r="Q53" s="13" t="s">
        <v>167</v>
      </c>
      <c r="R53" s="9" t="s">
        <v>427</v>
      </c>
      <c r="S53" s="3">
        <v>33860</v>
      </c>
    </row>
    <row r="54" spans="1:19">
      <c r="A54" t="s">
        <v>428</v>
      </c>
      <c r="B54" t="s">
        <v>429</v>
      </c>
      <c r="C54" t="s">
        <v>430</v>
      </c>
      <c r="D54" t="s">
        <v>22</v>
      </c>
      <c r="E54" t="s">
        <v>431</v>
      </c>
      <c r="F54" t="s">
        <v>432</v>
      </c>
      <c r="G54" t="s">
        <v>433</v>
      </c>
      <c r="H54" t="s">
        <v>415</v>
      </c>
      <c r="I54" t="s">
        <v>434</v>
      </c>
      <c r="J54" s="2">
        <v>64000</v>
      </c>
      <c r="K54" s="3">
        <v>45404</v>
      </c>
      <c r="L54" t="s">
        <v>28</v>
      </c>
      <c r="M54" t="s">
        <v>435</v>
      </c>
      <c r="N54" t="s">
        <v>98</v>
      </c>
      <c r="O54" s="2">
        <f t="shared" si="0"/>
        <v>64000</v>
      </c>
      <c r="P54" s="2">
        <f t="shared" si="1"/>
        <v>768000</v>
      </c>
      <c r="Q54" s="13" t="s">
        <v>137</v>
      </c>
      <c r="R54" s="9" t="s">
        <v>436</v>
      </c>
      <c r="S54" s="3">
        <v>36215</v>
      </c>
    </row>
    <row r="55" spans="1:19" ht="27.6">
      <c r="A55" t="s">
        <v>437</v>
      </c>
      <c r="B55" t="s">
        <v>438</v>
      </c>
      <c r="C55" t="s">
        <v>439</v>
      </c>
      <c r="D55" t="s">
        <v>22</v>
      </c>
      <c r="E55" t="s">
        <v>440</v>
      </c>
      <c r="F55" t="s">
        <v>441</v>
      </c>
      <c r="G55" t="s">
        <v>442</v>
      </c>
      <c r="H55" t="s">
        <v>415</v>
      </c>
      <c r="I55" t="s">
        <v>443</v>
      </c>
      <c r="J55" s="2">
        <v>67000</v>
      </c>
      <c r="K55" s="3">
        <v>45413</v>
      </c>
      <c r="L55" t="s">
        <v>28</v>
      </c>
      <c r="M55" t="s">
        <v>444</v>
      </c>
      <c r="N55" t="s">
        <v>106</v>
      </c>
      <c r="O55" s="2">
        <f t="shared" si="0"/>
        <v>67000</v>
      </c>
      <c r="P55" s="2">
        <f t="shared" si="1"/>
        <v>804000</v>
      </c>
      <c r="Q55" s="13" t="s">
        <v>182</v>
      </c>
      <c r="R55" s="9" t="s">
        <v>54</v>
      </c>
      <c r="S55" s="3">
        <v>28313</v>
      </c>
    </row>
    <row r="56" spans="1:19" ht="27.6">
      <c r="A56" t="s">
        <v>445</v>
      </c>
      <c r="B56" t="s">
        <v>446</v>
      </c>
      <c r="C56" t="s">
        <v>447</v>
      </c>
      <c r="D56" t="s">
        <v>22</v>
      </c>
      <c r="E56" t="s">
        <v>448</v>
      </c>
      <c r="F56" t="s">
        <v>449</v>
      </c>
      <c r="G56" t="s">
        <v>450</v>
      </c>
      <c r="H56" t="s">
        <v>415</v>
      </c>
      <c r="I56" t="s">
        <v>451</v>
      </c>
      <c r="J56" s="2">
        <v>59000</v>
      </c>
      <c r="K56" s="3">
        <v>45422</v>
      </c>
      <c r="L56" t="s">
        <v>28</v>
      </c>
      <c r="M56" t="s">
        <v>452</v>
      </c>
      <c r="N56" t="s">
        <v>82</v>
      </c>
      <c r="O56" s="2">
        <f t="shared" si="0"/>
        <v>59000</v>
      </c>
      <c r="P56" s="2">
        <f t="shared" si="1"/>
        <v>708000</v>
      </c>
      <c r="Q56" s="13" t="s">
        <v>418</v>
      </c>
      <c r="R56" s="9" t="s">
        <v>43</v>
      </c>
      <c r="S56" s="3">
        <v>31034</v>
      </c>
    </row>
    <row r="57" spans="1:19" ht="27.6">
      <c r="A57" t="s">
        <v>453</v>
      </c>
      <c r="B57" t="s">
        <v>454</v>
      </c>
      <c r="C57" t="s">
        <v>237</v>
      </c>
      <c r="D57" t="s">
        <v>22</v>
      </c>
      <c r="E57" t="s">
        <v>455</v>
      </c>
      <c r="F57" t="s">
        <v>456</v>
      </c>
      <c r="G57" t="s">
        <v>457</v>
      </c>
      <c r="H57" t="s">
        <v>415</v>
      </c>
      <c r="I57" t="s">
        <v>416</v>
      </c>
      <c r="J57" s="2">
        <v>109000</v>
      </c>
      <c r="K57" s="3">
        <v>45431</v>
      </c>
      <c r="L57" t="s">
        <v>28</v>
      </c>
      <c r="M57" t="s">
        <v>458</v>
      </c>
      <c r="N57" t="s">
        <v>73</v>
      </c>
      <c r="O57" s="2">
        <f t="shared" si="0"/>
        <v>109000</v>
      </c>
      <c r="P57" s="2">
        <f t="shared" si="1"/>
        <v>1308000</v>
      </c>
      <c r="Q57" s="13" t="s">
        <v>31</v>
      </c>
      <c r="R57" s="9" t="s">
        <v>427</v>
      </c>
      <c r="S57" s="3">
        <v>33359</v>
      </c>
    </row>
    <row r="58" spans="1:19" ht="27.6">
      <c r="A58" t="s">
        <v>459</v>
      </c>
      <c r="B58" t="s">
        <v>460</v>
      </c>
      <c r="C58" t="s">
        <v>461</v>
      </c>
      <c r="D58" t="s">
        <v>22</v>
      </c>
      <c r="E58" t="s">
        <v>462</v>
      </c>
      <c r="F58" t="s">
        <v>463</v>
      </c>
      <c r="G58" t="s">
        <v>464</v>
      </c>
      <c r="H58" t="s">
        <v>415</v>
      </c>
      <c r="I58" t="s">
        <v>425</v>
      </c>
      <c r="J58" s="2">
        <v>75000</v>
      </c>
      <c r="K58" s="3">
        <v>45440</v>
      </c>
      <c r="L58" t="s">
        <v>28</v>
      </c>
      <c r="M58" t="s">
        <v>465</v>
      </c>
      <c r="N58" t="s">
        <v>73</v>
      </c>
      <c r="O58" s="2">
        <f t="shared" si="0"/>
        <v>75000</v>
      </c>
      <c r="P58" s="2">
        <f t="shared" si="1"/>
        <v>900000</v>
      </c>
      <c r="Q58" s="13" t="s">
        <v>167</v>
      </c>
      <c r="R58" s="9" t="s">
        <v>436</v>
      </c>
      <c r="S58" s="3">
        <v>36080</v>
      </c>
    </row>
    <row r="59" spans="1:19">
      <c r="A59" t="s">
        <v>466</v>
      </c>
      <c r="B59" t="s">
        <v>467</v>
      </c>
      <c r="C59" t="s">
        <v>468</v>
      </c>
      <c r="D59" t="s">
        <v>22</v>
      </c>
      <c r="E59" t="s">
        <v>469</v>
      </c>
      <c r="F59" t="s">
        <v>470</v>
      </c>
      <c r="G59" t="s">
        <v>471</v>
      </c>
      <c r="H59" t="s">
        <v>415</v>
      </c>
      <c r="I59" t="s">
        <v>434</v>
      </c>
      <c r="J59" s="2">
        <v>100000</v>
      </c>
      <c r="K59" s="3">
        <v>45449</v>
      </c>
      <c r="L59" t="s">
        <v>28</v>
      </c>
      <c r="M59" t="s">
        <v>472</v>
      </c>
      <c r="N59" t="s">
        <v>106</v>
      </c>
      <c r="O59" s="2">
        <f t="shared" si="0"/>
        <v>100000</v>
      </c>
      <c r="P59" s="2">
        <f t="shared" si="1"/>
        <v>1200000</v>
      </c>
      <c r="Q59" s="13" t="s">
        <v>53</v>
      </c>
      <c r="R59" s="9" t="s">
        <v>54</v>
      </c>
      <c r="S59" s="3">
        <v>27842</v>
      </c>
    </row>
    <row r="60" spans="1:19" ht="27.6">
      <c r="A60" t="s">
        <v>473</v>
      </c>
      <c r="B60" t="s">
        <v>474</v>
      </c>
      <c r="C60" t="s">
        <v>475</v>
      </c>
      <c r="D60" t="s">
        <v>22</v>
      </c>
      <c r="E60" t="s">
        <v>476</v>
      </c>
      <c r="F60" t="s">
        <v>477</v>
      </c>
      <c r="G60" t="s">
        <v>478</v>
      </c>
      <c r="H60" t="s">
        <v>415</v>
      </c>
      <c r="I60" t="s">
        <v>443</v>
      </c>
      <c r="J60" s="2">
        <v>119000</v>
      </c>
      <c r="K60" s="3">
        <v>45458</v>
      </c>
      <c r="L60" t="s">
        <v>28</v>
      </c>
      <c r="M60" t="s">
        <v>479</v>
      </c>
      <c r="N60" t="s">
        <v>204</v>
      </c>
      <c r="O60" s="2">
        <f t="shared" si="0"/>
        <v>119000</v>
      </c>
      <c r="P60" s="2">
        <f t="shared" si="1"/>
        <v>1428000</v>
      </c>
      <c r="Q60" s="13" t="s">
        <v>418</v>
      </c>
      <c r="R60" s="9" t="s">
        <v>43</v>
      </c>
      <c r="S60" s="3">
        <v>30534</v>
      </c>
    </row>
    <row r="61" spans="1:19" ht="27.6">
      <c r="A61" t="s">
        <v>480</v>
      </c>
      <c r="B61" t="s">
        <v>481</v>
      </c>
      <c r="C61" t="s">
        <v>482</v>
      </c>
      <c r="D61" t="s">
        <v>22</v>
      </c>
      <c r="E61" t="s">
        <v>483</v>
      </c>
      <c r="F61" t="s">
        <v>484</v>
      </c>
      <c r="G61" t="s">
        <v>485</v>
      </c>
      <c r="H61" t="s">
        <v>415</v>
      </c>
      <c r="I61" t="s">
        <v>451</v>
      </c>
      <c r="J61" s="2">
        <v>42000</v>
      </c>
      <c r="K61" s="3">
        <v>45467</v>
      </c>
      <c r="L61" t="s">
        <v>28</v>
      </c>
      <c r="M61" t="s">
        <v>486</v>
      </c>
      <c r="N61" t="s">
        <v>52</v>
      </c>
      <c r="O61" s="2">
        <f t="shared" si="0"/>
        <v>42000</v>
      </c>
      <c r="P61" s="2">
        <f t="shared" si="1"/>
        <v>504000</v>
      </c>
      <c r="Q61" s="13" t="s">
        <v>74</v>
      </c>
      <c r="R61" s="9" t="s">
        <v>427</v>
      </c>
      <c r="S61" s="3">
        <v>32890</v>
      </c>
    </row>
    <row r="62" spans="1:19" ht="27.6">
      <c r="A62" t="s">
        <v>487</v>
      </c>
      <c r="B62" t="s">
        <v>488</v>
      </c>
      <c r="C62" t="s">
        <v>489</v>
      </c>
      <c r="D62" t="s">
        <v>22</v>
      </c>
      <c r="E62" t="s">
        <v>490</v>
      </c>
      <c r="F62" t="s">
        <v>491</v>
      </c>
      <c r="G62" t="s">
        <v>492</v>
      </c>
      <c r="H62" t="s">
        <v>415</v>
      </c>
      <c r="I62" t="s">
        <v>416</v>
      </c>
      <c r="J62" s="2">
        <v>45000</v>
      </c>
      <c r="K62" s="3">
        <v>45476</v>
      </c>
      <c r="L62" t="s">
        <v>28</v>
      </c>
      <c r="M62" t="s">
        <v>493</v>
      </c>
      <c r="N62" t="s">
        <v>204</v>
      </c>
      <c r="O62" s="2">
        <f t="shared" si="0"/>
        <v>45000</v>
      </c>
      <c r="P62" s="2">
        <f t="shared" si="1"/>
        <v>540000</v>
      </c>
      <c r="Q62" s="13" t="s">
        <v>31</v>
      </c>
      <c r="R62" s="9" t="s">
        <v>436</v>
      </c>
      <c r="S62" s="3">
        <v>35609</v>
      </c>
    </row>
    <row r="63" spans="1:19">
      <c r="A63" t="s">
        <v>494</v>
      </c>
      <c r="B63" t="s">
        <v>495</v>
      </c>
      <c r="C63" t="s">
        <v>496</v>
      </c>
      <c r="D63" t="s">
        <v>22</v>
      </c>
      <c r="E63" t="s">
        <v>497</v>
      </c>
      <c r="F63" t="s">
        <v>498</v>
      </c>
      <c r="G63" t="s">
        <v>499</v>
      </c>
      <c r="H63" t="s">
        <v>415</v>
      </c>
      <c r="I63" t="s">
        <v>425</v>
      </c>
      <c r="J63" s="2">
        <v>67000</v>
      </c>
      <c r="K63" s="3">
        <v>45485</v>
      </c>
      <c r="L63" t="s">
        <v>28</v>
      </c>
      <c r="M63" t="s">
        <v>500</v>
      </c>
      <c r="N63" t="s">
        <v>41</v>
      </c>
      <c r="O63" s="2">
        <f t="shared" si="0"/>
        <v>67000</v>
      </c>
      <c r="P63" s="2">
        <f t="shared" si="1"/>
        <v>804000</v>
      </c>
      <c r="Q63" s="13" t="s">
        <v>90</v>
      </c>
      <c r="R63" s="9" t="s">
        <v>54</v>
      </c>
      <c r="S63" s="3">
        <v>38302</v>
      </c>
    </row>
    <row r="64" spans="1:19" ht="27.6">
      <c r="A64" t="s">
        <v>501</v>
      </c>
      <c r="B64" t="s">
        <v>502</v>
      </c>
      <c r="C64" t="s">
        <v>503</v>
      </c>
      <c r="D64" t="s">
        <v>22</v>
      </c>
      <c r="E64" t="s">
        <v>504</v>
      </c>
      <c r="F64" t="s">
        <v>505</v>
      </c>
      <c r="G64" t="s">
        <v>506</v>
      </c>
      <c r="H64" t="s">
        <v>415</v>
      </c>
      <c r="I64" t="s">
        <v>434</v>
      </c>
      <c r="J64" s="2">
        <v>50000</v>
      </c>
      <c r="K64" s="3">
        <v>45494</v>
      </c>
      <c r="L64" t="s">
        <v>28</v>
      </c>
      <c r="M64" t="s">
        <v>507</v>
      </c>
      <c r="N64" t="s">
        <v>41</v>
      </c>
      <c r="O64" s="2">
        <f t="shared" si="0"/>
        <v>50000</v>
      </c>
      <c r="P64" s="2">
        <f t="shared" si="1"/>
        <v>600000</v>
      </c>
      <c r="Q64" s="13" t="s">
        <v>418</v>
      </c>
      <c r="R64" s="9" t="s">
        <v>43</v>
      </c>
      <c r="S64" s="3">
        <v>30063</v>
      </c>
    </row>
    <row r="65" spans="1:19">
      <c r="A65" t="s">
        <v>508</v>
      </c>
      <c r="B65" t="s">
        <v>509</v>
      </c>
      <c r="C65" t="s">
        <v>510</v>
      </c>
      <c r="D65" t="s">
        <v>22</v>
      </c>
      <c r="E65" t="s">
        <v>511</v>
      </c>
      <c r="F65" t="s">
        <v>512</v>
      </c>
      <c r="G65" t="s">
        <v>513</v>
      </c>
      <c r="H65" t="s">
        <v>415</v>
      </c>
      <c r="I65" t="s">
        <v>443</v>
      </c>
      <c r="J65" s="2">
        <v>89000</v>
      </c>
      <c r="K65" s="3">
        <v>45503</v>
      </c>
      <c r="L65" t="s">
        <v>28</v>
      </c>
      <c r="M65" t="s">
        <v>514</v>
      </c>
      <c r="N65" t="s">
        <v>41</v>
      </c>
      <c r="O65" s="2">
        <f t="shared" si="0"/>
        <v>89000</v>
      </c>
      <c r="P65" s="2">
        <f t="shared" si="1"/>
        <v>1068000</v>
      </c>
      <c r="Q65" s="13" t="s">
        <v>107</v>
      </c>
      <c r="R65" s="9" t="s">
        <v>427</v>
      </c>
      <c r="S65" s="3">
        <v>32756</v>
      </c>
    </row>
    <row r="66" spans="1:19" ht="27.6">
      <c r="A66" t="s">
        <v>515</v>
      </c>
      <c r="B66" t="s">
        <v>516</v>
      </c>
      <c r="C66" t="s">
        <v>517</v>
      </c>
      <c r="D66" t="s">
        <v>22</v>
      </c>
      <c r="E66" t="s">
        <v>518</v>
      </c>
      <c r="F66" t="s">
        <v>519</v>
      </c>
      <c r="G66" t="s">
        <v>520</v>
      </c>
      <c r="H66" t="s">
        <v>415</v>
      </c>
      <c r="I66" t="s">
        <v>451</v>
      </c>
      <c r="J66" s="2">
        <v>84000</v>
      </c>
      <c r="K66" s="3">
        <v>45512</v>
      </c>
      <c r="L66" t="s">
        <v>28</v>
      </c>
      <c r="M66" t="s">
        <v>521</v>
      </c>
      <c r="N66" t="s">
        <v>41</v>
      </c>
      <c r="O66" s="2">
        <f t="shared" ref="O66:O129" si="2">J66</f>
        <v>84000</v>
      </c>
      <c r="P66" s="2">
        <f t="shared" ref="P66:P129" si="3">J66*12</f>
        <v>1008000</v>
      </c>
      <c r="Q66" s="13" t="s">
        <v>74</v>
      </c>
      <c r="R66" s="9" t="s">
        <v>436</v>
      </c>
      <c r="S66" s="3">
        <v>35111</v>
      </c>
    </row>
    <row r="67" spans="1:19">
      <c r="A67" t="s">
        <v>522</v>
      </c>
      <c r="B67" t="s">
        <v>523</v>
      </c>
      <c r="C67" t="s">
        <v>524</v>
      </c>
      <c r="D67" t="s">
        <v>22</v>
      </c>
      <c r="E67" t="s">
        <v>525</v>
      </c>
      <c r="F67" t="s">
        <v>526</v>
      </c>
      <c r="G67" t="s">
        <v>527</v>
      </c>
      <c r="H67" t="s">
        <v>415</v>
      </c>
      <c r="I67" t="s">
        <v>416</v>
      </c>
      <c r="J67" s="2">
        <v>55000</v>
      </c>
      <c r="K67" s="3">
        <v>45521</v>
      </c>
      <c r="L67" t="s">
        <v>28</v>
      </c>
      <c r="M67" t="s">
        <v>528</v>
      </c>
      <c r="N67" t="s">
        <v>73</v>
      </c>
      <c r="O67" s="2">
        <f t="shared" si="2"/>
        <v>55000</v>
      </c>
      <c r="P67" s="2">
        <f t="shared" si="3"/>
        <v>660000</v>
      </c>
      <c r="Q67" s="13" t="s">
        <v>122</v>
      </c>
      <c r="R67" s="9" t="s">
        <v>54</v>
      </c>
      <c r="S67" s="3">
        <v>37829</v>
      </c>
    </row>
    <row r="68" spans="1:19" ht="27.6">
      <c r="A68" t="s">
        <v>529</v>
      </c>
      <c r="B68" t="s">
        <v>530</v>
      </c>
      <c r="C68" t="s">
        <v>531</v>
      </c>
      <c r="D68" t="s">
        <v>22</v>
      </c>
      <c r="E68" t="s">
        <v>532</v>
      </c>
      <c r="F68" t="s">
        <v>533</v>
      </c>
      <c r="G68" t="s">
        <v>534</v>
      </c>
      <c r="H68" t="s">
        <v>415</v>
      </c>
      <c r="I68" t="s">
        <v>425</v>
      </c>
      <c r="J68" s="2">
        <v>81000</v>
      </c>
      <c r="K68" s="3">
        <v>45530</v>
      </c>
      <c r="L68" t="s">
        <v>28</v>
      </c>
      <c r="M68" t="s">
        <v>535</v>
      </c>
      <c r="N68" t="s">
        <v>82</v>
      </c>
      <c r="O68" s="2">
        <f t="shared" si="2"/>
        <v>81000</v>
      </c>
      <c r="P68" s="2">
        <f t="shared" si="3"/>
        <v>972000</v>
      </c>
      <c r="Q68" s="13" t="s">
        <v>418</v>
      </c>
      <c r="R68" s="9" t="s">
        <v>43</v>
      </c>
      <c r="S68" s="3">
        <v>29930</v>
      </c>
    </row>
    <row r="69" spans="1:19">
      <c r="A69" t="s">
        <v>536</v>
      </c>
      <c r="B69" t="s">
        <v>537</v>
      </c>
      <c r="C69" t="s">
        <v>327</v>
      </c>
      <c r="D69" t="s">
        <v>22</v>
      </c>
      <c r="E69" t="s">
        <v>538</v>
      </c>
      <c r="F69" t="s">
        <v>539</v>
      </c>
      <c r="G69" t="s">
        <v>540</v>
      </c>
      <c r="H69" t="s">
        <v>415</v>
      </c>
      <c r="I69" t="s">
        <v>434</v>
      </c>
      <c r="J69" s="2">
        <v>37000</v>
      </c>
      <c r="K69" s="3">
        <v>45539</v>
      </c>
      <c r="L69" t="s">
        <v>28</v>
      </c>
      <c r="M69" t="s">
        <v>541</v>
      </c>
      <c r="N69" t="s">
        <v>204</v>
      </c>
      <c r="O69" s="2">
        <f t="shared" si="2"/>
        <v>37000</v>
      </c>
      <c r="P69" s="2">
        <f t="shared" si="3"/>
        <v>444000</v>
      </c>
      <c r="Q69" s="13" t="s">
        <v>137</v>
      </c>
      <c r="R69" s="9" t="s">
        <v>427</v>
      </c>
      <c r="S69" s="3">
        <v>32284</v>
      </c>
    </row>
    <row r="70" spans="1:19">
      <c r="A70" t="s">
        <v>542</v>
      </c>
      <c r="B70" t="s">
        <v>543</v>
      </c>
      <c r="C70" t="s">
        <v>544</v>
      </c>
      <c r="D70" t="s">
        <v>22</v>
      </c>
      <c r="E70" t="s">
        <v>545</v>
      </c>
      <c r="F70" t="s">
        <v>546</v>
      </c>
      <c r="G70" t="s">
        <v>547</v>
      </c>
      <c r="H70" t="s">
        <v>415</v>
      </c>
      <c r="I70" t="s">
        <v>443</v>
      </c>
      <c r="J70" s="2">
        <v>119000</v>
      </c>
      <c r="K70" s="3">
        <v>45548</v>
      </c>
      <c r="L70" t="s">
        <v>28</v>
      </c>
      <c r="M70" t="s">
        <v>548</v>
      </c>
      <c r="N70" t="s">
        <v>98</v>
      </c>
      <c r="O70" s="2">
        <f t="shared" si="2"/>
        <v>119000</v>
      </c>
      <c r="P70" s="2">
        <f t="shared" si="3"/>
        <v>1428000</v>
      </c>
      <c r="Q70" s="13" t="s">
        <v>107</v>
      </c>
      <c r="R70" s="9" t="s">
        <v>436</v>
      </c>
      <c r="S70" s="3">
        <v>34976</v>
      </c>
    </row>
    <row r="71" spans="1:19">
      <c r="A71" t="s">
        <v>549</v>
      </c>
      <c r="B71" t="s">
        <v>550</v>
      </c>
      <c r="C71" t="s">
        <v>551</v>
      </c>
      <c r="D71" t="s">
        <v>22</v>
      </c>
      <c r="E71" t="s">
        <v>552</v>
      </c>
      <c r="F71" t="s">
        <v>553</v>
      </c>
      <c r="G71" t="s">
        <v>554</v>
      </c>
      <c r="H71" t="s">
        <v>415</v>
      </c>
      <c r="I71" t="s">
        <v>451</v>
      </c>
      <c r="J71" s="2">
        <v>55000</v>
      </c>
      <c r="K71" s="3">
        <v>45557</v>
      </c>
      <c r="L71" t="s">
        <v>28</v>
      </c>
      <c r="M71" t="s">
        <v>555</v>
      </c>
      <c r="N71" t="s">
        <v>98</v>
      </c>
      <c r="O71" s="2">
        <f t="shared" si="2"/>
        <v>55000</v>
      </c>
      <c r="P71" s="2">
        <f t="shared" si="3"/>
        <v>660000</v>
      </c>
      <c r="Q71" s="13" t="s">
        <v>152</v>
      </c>
      <c r="R71" s="9" t="s">
        <v>54</v>
      </c>
      <c r="S71" s="3">
        <v>37330</v>
      </c>
    </row>
    <row r="72" spans="1:19" ht="27.6">
      <c r="A72" t="s">
        <v>556</v>
      </c>
      <c r="B72" t="s">
        <v>557</v>
      </c>
      <c r="C72" t="s">
        <v>558</v>
      </c>
      <c r="D72" t="s">
        <v>22</v>
      </c>
      <c r="E72" t="s">
        <v>559</v>
      </c>
      <c r="F72" t="s">
        <v>560</v>
      </c>
      <c r="G72" t="s">
        <v>561</v>
      </c>
      <c r="H72" t="s">
        <v>415</v>
      </c>
      <c r="I72" t="s">
        <v>416</v>
      </c>
      <c r="J72" s="2">
        <v>107000</v>
      </c>
      <c r="K72" s="3">
        <v>45566</v>
      </c>
      <c r="L72" t="s">
        <v>28</v>
      </c>
      <c r="M72" t="s">
        <v>562</v>
      </c>
      <c r="N72" t="s">
        <v>82</v>
      </c>
      <c r="O72" s="2">
        <f t="shared" si="2"/>
        <v>107000</v>
      </c>
      <c r="P72" s="2">
        <f t="shared" si="3"/>
        <v>1284000</v>
      </c>
      <c r="Q72" s="13" t="s">
        <v>418</v>
      </c>
      <c r="R72" s="9" t="s">
        <v>43</v>
      </c>
      <c r="S72" s="3">
        <v>29459</v>
      </c>
    </row>
    <row r="73" spans="1:19" ht="27.6">
      <c r="A73" t="s">
        <v>563</v>
      </c>
      <c r="B73" t="s">
        <v>564</v>
      </c>
      <c r="C73" t="s">
        <v>565</v>
      </c>
      <c r="D73" t="s">
        <v>22</v>
      </c>
      <c r="E73" t="s">
        <v>566</v>
      </c>
      <c r="F73" t="s">
        <v>567</v>
      </c>
      <c r="G73" t="s">
        <v>568</v>
      </c>
      <c r="H73" t="s">
        <v>415</v>
      </c>
      <c r="I73" t="s">
        <v>425</v>
      </c>
      <c r="J73" s="2">
        <v>88000</v>
      </c>
      <c r="K73" s="3">
        <v>45575</v>
      </c>
      <c r="L73" t="s">
        <v>28</v>
      </c>
      <c r="M73" t="s">
        <v>569</v>
      </c>
      <c r="N73" t="s">
        <v>41</v>
      </c>
      <c r="O73" s="2">
        <f t="shared" si="2"/>
        <v>88000</v>
      </c>
      <c r="P73" s="2">
        <f t="shared" si="3"/>
        <v>1056000</v>
      </c>
      <c r="Q73" s="13" t="s">
        <v>167</v>
      </c>
      <c r="R73" s="9" t="s">
        <v>427</v>
      </c>
      <c r="S73" s="3">
        <v>31786</v>
      </c>
    </row>
    <row r="74" spans="1:19">
      <c r="A74" t="s">
        <v>570</v>
      </c>
      <c r="B74" t="s">
        <v>571</v>
      </c>
      <c r="C74" t="s">
        <v>572</v>
      </c>
      <c r="D74" t="s">
        <v>22</v>
      </c>
      <c r="E74" t="s">
        <v>573</v>
      </c>
      <c r="F74" t="s">
        <v>574</v>
      </c>
      <c r="G74" t="s">
        <v>575</v>
      </c>
      <c r="H74" t="s">
        <v>415</v>
      </c>
      <c r="I74" t="s">
        <v>434</v>
      </c>
      <c r="J74" s="2">
        <v>52000</v>
      </c>
      <c r="K74" s="3">
        <v>45584</v>
      </c>
      <c r="L74" t="s">
        <v>28</v>
      </c>
      <c r="M74" t="s">
        <v>576</v>
      </c>
      <c r="N74" t="s">
        <v>204</v>
      </c>
      <c r="O74" s="2">
        <f t="shared" si="2"/>
        <v>52000</v>
      </c>
      <c r="P74" s="2">
        <f t="shared" si="3"/>
        <v>624000</v>
      </c>
      <c r="Q74" s="13" t="s">
        <v>137</v>
      </c>
      <c r="R74" s="9" t="s">
        <v>436</v>
      </c>
      <c r="S74" s="3">
        <v>34505</v>
      </c>
    </row>
    <row r="75" spans="1:19" ht="27.6">
      <c r="A75" t="s">
        <v>577</v>
      </c>
      <c r="B75" t="s">
        <v>578</v>
      </c>
      <c r="C75" t="s">
        <v>579</v>
      </c>
      <c r="D75" t="s">
        <v>22</v>
      </c>
      <c r="E75" t="s">
        <v>580</v>
      </c>
      <c r="F75" t="s">
        <v>581</v>
      </c>
      <c r="G75" t="s">
        <v>582</v>
      </c>
      <c r="H75" t="s">
        <v>415</v>
      </c>
      <c r="I75" t="s">
        <v>443</v>
      </c>
      <c r="J75" s="2">
        <v>65000</v>
      </c>
      <c r="K75" s="3">
        <v>45593</v>
      </c>
      <c r="L75" t="s">
        <v>28</v>
      </c>
      <c r="M75" t="s">
        <v>583</v>
      </c>
      <c r="N75" t="s">
        <v>52</v>
      </c>
      <c r="O75" s="2">
        <f t="shared" si="2"/>
        <v>65000</v>
      </c>
      <c r="P75" s="2">
        <f t="shared" si="3"/>
        <v>780000</v>
      </c>
      <c r="Q75" s="13" t="s">
        <v>182</v>
      </c>
      <c r="R75" s="9" t="s">
        <v>54</v>
      </c>
      <c r="S75" s="3">
        <v>37198</v>
      </c>
    </row>
    <row r="76" spans="1:19" ht="27.6">
      <c r="A76" t="s">
        <v>584</v>
      </c>
      <c r="B76" t="s">
        <v>585</v>
      </c>
      <c r="C76" t="s">
        <v>586</v>
      </c>
      <c r="D76" t="s">
        <v>22</v>
      </c>
      <c r="E76" t="s">
        <v>587</v>
      </c>
      <c r="F76" t="s">
        <v>588</v>
      </c>
      <c r="G76" t="s">
        <v>589</v>
      </c>
      <c r="H76" t="s">
        <v>415</v>
      </c>
      <c r="I76" t="s">
        <v>451</v>
      </c>
      <c r="J76" s="2">
        <v>57000</v>
      </c>
      <c r="K76" s="3">
        <v>45602</v>
      </c>
      <c r="L76" t="s">
        <v>28</v>
      </c>
      <c r="M76" t="s">
        <v>590</v>
      </c>
      <c r="N76" t="s">
        <v>82</v>
      </c>
      <c r="O76" s="2">
        <f t="shared" si="2"/>
        <v>57000</v>
      </c>
      <c r="P76" s="2">
        <f t="shared" si="3"/>
        <v>684000</v>
      </c>
      <c r="Q76" s="13" t="s">
        <v>418</v>
      </c>
      <c r="R76" s="9" t="s">
        <v>43</v>
      </c>
      <c r="S76" s="3">
        <v>28959</v>
      </c>
    </row>
    <row r="77" spans="1:19" ht="27.6">
      <c r="A77" t="s">
        <v>591</v>
      </c>
      <c r="B77" t="s">
        <v>592</v>
      </c>
      <c r="C77" t="s">
        <v>593</v>
      </c>
      <c r="D77" t="s">
        <v>22</v>
      </c>
      <c r="E77" t="s">
        <v>594</v>
      </c>
      <c r="F77" t="s">
        <v>595</v>
      </c>
      <c r="G77" t="s">
        <v>596</v>
      </c>
      <c r="H77" t="s">
        <v>597</v>
      </c>
      <c r="I77" t="s">
        <v>598</v>
      </c>
      <c r="J77" s="2">
        <v>78000</v>
      </c>
      <c r="K77" s="3">
        <v>45611</v>
      </c>
      <c r="L77" t="s">
        <v>28</v>
      </c>
      <c r="M77" t="s">
        <v>599</v>
      </c>
      <c r="N77" t="s">
        <v>30</v>
      </c>
      <c r="O77" s="2">
        <f t="shared" si="2"/>
        <v>78000</v>
      </c>
      <c r="P77" s="2">
        <f t="shared" si="3"/>
        <v>936000</v>
      </c>
      <c r="Q77" s="13" t="s">
        <v>182</v>
      </c>
      <c r="R77" s="9" t="s">
        <v>54</v>
      </c>
      <c r="S77" s="3">
        <v>31680</v>
      </c>
    </row>
    <row r="78" spans="1:19" ht="27.6">
      <c r="A78" t="s">
        <v>600</v>
      </c>
      <c r="B78" t="s">
        <v>601</v>
      </c>
      <c r="C78" t="s">
        <v>602</v>
      </c>
      <c r="D78" t="s">
        <v>22</v>
      </c>
      <c r="E78" t="s">
        <v>603</v>
      </c>
      <c r="F78" t="s">
        <v>604</v>
      </c>
      <c r="G78" t="s">
        <v>605</v>
      </c>
      <c r="H78" t="s">
        <v>597</v>
      </c>
      <c r="I78" t="s">
        <v>606</v>
      </c>
      <c r="J78" s="2">
        <v>82000</v>
      </c>
      <c r="K78" s="3">
        <v>45620</v>
      </c>
      <c r="L78" t="s">
        <v>28</v>
      </c>
      <c r="M78" t="s">
        <v>607</v>
      </c>
      <c r="N78" t="s">
        <v>73</v>
      </c>
      <c r="O78" s="2">
        <f t="shared" si="2"/>
        <v>82000</v>
      </c>
      <c r="P78" s="2">
        <f t="shared" si="3"/>
        <v>984000</v>
      </c>
      <c r="Q78" s="13" t="s">
        <v>608</v>
      </c>
      <c r="R78" s="9" t="s">
        <v>609</v>
      </c>
      <c r="S78" s="3">
        <v>34008</v>
      </c>
    </row>
    <row r="79" spans="1:19" ht="27.6">
      <c r="A79" t="s">
        <v>610</v>
      </c>
      <c r="B79" t="s">
        <v>611</v>
      </c>
      <c r="C79" t="s">
        <v>612</v>
      </c>
      <c r="D79" t="s">
        <v>22</v>
      </c>
      <c r="E79" t="s">
        <v>613</v>
      </c>
      <c r="F79" t="s">
        <v>614</v>
      </c>
      <c r="G79" t="s">
        <v>615</v>
      </c>
      <c r="H79" t="s">
        <v>597</v>
      </c>
      <c r="I79" t="s">
        <v>616</v>
      </c>
      <c r="J79" s="2">
        <v>98000</v>
      </c>
      <c r="K79" s="3">
        <v>45629</v>
      </c>
      <c r="L79" t="s">
        <v>28</v>
      </c>
      <c r="M79" t="s">
        <v>617</v>
      </c>
      <c r="N79" t="s">
        <v>73</v>
      </c>
      <c r="O79" s="2">
        <f t="shared" si="2"/>
        <v>98000</v>
      </c>
      <c r="P79" s="2">
        <f t="shared" si="3"/>
        <v>1176000</v>
      </c>
      <c r="Q79" s="13" t="s">
        <v>618</v>
      </c>
      <c r="R79" s="9" t="s">
        <v>43</v>
      </c>
      <c r="S79" s="3">
        <v>36726</v>
      </c>
    </row>
    <row r="80" spans="1:19">
      <c r="A80" t="s">
        <v>619</v>
      </c>
      <c r="B80" t="s">
        <v>620</v>
      </c>
      <c r="C80" t="s">
        <v>621</v>
      </c>
      <c r="D80" t="s">
        <v>22</v>
      </c>
      <c r="E80" t="s">
        <v>622</v>
      </c>
      <c r="F80" t="s">
        <v>623</v>
      </c>
      <c r="G80" t="s">
        <v>624</v>
      </c>
      <c r="H80" t="s">
        <v>597</v>
      </c>
      <c r="I80" t="s">
        <v>625</v>
      </c>
      <c r="J80" s="2">
        <v>105000</v>
      </c>
      <c r="K80" s="3">
        <v>45638</v>
      </c>
      <c r="L80" t="s">
        <v>28</v>
      </c>
      <c r="M80" t="s">
        <v>626</v>
      </c>
      <c r="N80" t="s">
        <v>52</v>
      </c>
      <c r="O80" s="2">
        <f t="shared" si="2"/>
        <v>105000</v>
      </c>
      <c r="P80" s="2">
        <f t="shared" si="3"/>
        <v>1260000</v>
      </c>
      <c r="Q80" s="13" t="s">
        <v>627</v>
      </c>
      <c r="R80" s="9" t="s">
        <v>628</v>
      </c>
      <c r="S80" s="3">
        <v>28826</v>
      </c>
    </row>
    <row r="81" spans="1:19">
      <c r="A81" t="s">
        <v>629</v>
      </c>
      <c r="B81" t="s">
        <v>630</v>
      </c>
      <c r="C81" t="s">
        <v>631</v>
      </c>
      <c r="D81" t="s">
        <v>22</v>
      </c>
      <c r="E81" t="s">
        <v>632</v>
      </c>
      <c r="F81" t="s">
        <v>633</v>
      </c>
      <c r="G81" t="s">
        <v>634</v>
      </c>
      <c r="H81" t="s">
        <v>597</v>
      </c>
      <c r="I81" t="s">
        <v>635</v>
      </c>
      <c r="J81" s="2">
        <v>64000</v>
      </c>
      <c r="K81" s="3">
        <v>45647</v>
      </c>
      <c r="L81" t="s">
        <v>28</v>
      </c>
      <c r="M81" t="s">
        <v>636</v>
      </c>
      <c r="N81" t="s">
        <v>106</v>
      </c>
      <c r="O81" s="2">
        <f t="shared" si="2"/>
        <v>64000</v>
      </c>
      <c r="P81" s="2">
        <f t="shared" si="3"/>
        <v>768000</v>
      </c>
      <c r="Q81" s="13" t="s">
        <v>53</v>
      </c>
      <c r="R81" s="9" t="s">
        <v>54</v>
      </c>
      <c r="S81" s="3">
        <v>31180</v>
      </c>
    </row>
    <row r="82" spans="1:19" ht="27.6">
      <c r="A82" t="s">
        <v>637</v>
      </c>
      <c r="B82" t="s">
        <v>638</v>
      </c>
      <c r="C82" t="s">
        <v>639</v>
      </c>
      <c r="D82" t="s">
        <v>22</v>
      </c>
      <c r="E82" t="s">
        <v>640</v>
      </c>
      <c r="F82" t="s">
        <v>641</v>
      </c>
      <c r="G82" t="s">
        <v>642</v>
      </c>
      <c r="H82" t="s">
        <v>597</v>
      </c>
      <c r="I82" t="s">
        <v>598</v>
      </c>
      <c r="J82" s="2">
        <v>97000</v>
      </c>
      <c r="K82" s="3">
        <v>45656</v>
      </c>
      <c r="L82" t="s">
        <v>28</v>
      </c>
      <c r="M82" t="s">
        <v>643</v>
      </c>
      <c r="N82" t="s">
        <v>106</v>
      </c>
      <c r="O82" s="2">
        <f t="shared" si="2"/>
        <v>97000</v>
      </c>
      <c r="P82" s="2">
        <f t="shared" si="3"/>
        <v>1164000</v>
      </c>
      <c r="Q82" s="13" t="s">
        <v>608</v>
      </c>
      <c r="R82" s="9" t="s">
        <v>609</v>
      </c>
      <c r="S82" s="3">
        <v>33901</v>
      </c>
    </row>
    <row r="83" spans="1:19" ht="27.6">
      <c r="A83" t="s">
        <v>644</v>
      </c>
      <c r="B83" t="s">
        <v>645</v>
      </c>
      <c r="C83" t="s">
        <v>646</v>
      </c>
      <c r="D83" t="s">
        <v>22</v>
      </c>
      <c r="E83" t="s">
        <v>647</v>
      </c>
      <c r="F83" t="s">
        <v>648</v>
      </c>
      <c r="G83" t="s">
        <v>649</v>
      </c>
      <c r="H83" t="s">
        <v>597</v>
      </c>
      <c r="I83" t="s">
        <v>606</v>
      </c>
      <c r="J83" s="2">
        <v>63000</v>
      </c>
      <c r="K83" s="3">
        <v>45665</v>
      </c>
      <c r="L83" t="s">
        <v>28</v>
      </c>
      <c r="M83" t="s">
        <v>650</v>
      </c>
      <c r="N83" t="s">
        <v>204</v>
      </c>
      <c r="O83" s="2">
        <f t="shared" si="2"/>
        <v>63000</v>
      </c>
      <c r="P83" s="2">
        <f t="shared" si="3"/>
        <v>756000</v>
      </c>
      <c r="Q83" s="13" t="s">
        <v>618</v>
      </c>
      <c r="R83" s="9" t="s">
        <v>43</v>
      </c>
      <c r="S83" s="3">
        <v>36226</v>
      </c>
    </row>
    <row r="84" spans="1:19">
      <c r="A84" t="s">
        <v>651</v>
      </c>
      <c r="B84" t="s">
        <v>652</v>
      </c>
      <c r="C84" t="s">
        <v>653</v>
      </c>
      <c r="D84" t="s">
        <v>22</v>
      </c>
      <c r="E84" t="s">
        <v>654</v>
      </c>
      <c r="F84" t="s">
        <v>655</v>
      </c>
      <c r="G84" t="s">
        <v>656</v>
      </c>
      <c r="H84" t="s">
        <v>597</v>
      </c>
      <c r="I84" t="s">
        <v>616</v>
      </c>
      <c r="J84" s="2">
        <v>112000</v>
      </c>
      <c r="K84" s="3">
        <v>45674</v>
      </c>
      <c r="L84" t="s">
        <v>28</v>
      </c>
      <c r="M84" t="s">
        <v>657</v>
      </c>
      <c r="N84" t="s">
        <v>73</v>
      </c>
      <c r="O84" s="2">
        <f t="shared" si="2"/>
        <v>112000</v>
      </c>
      <c r="P84" s="2">
        <f t="shared" si="3"/>
        <v>1344000</v>
      </c>
      <c r="Q84" s="13" t="s">
        <v>627</v>
      </c>
      <c r="R84" s="9" t="s">
        <v>628</v>
      </c>
      <c r="S84" s="3">
        <v>28355</v>
      </c>
    </row>
    <row r="85" spans="1:19">
      <c r="A85" t="s">
        <v>658</v>
      </c>
      <c r="B85" t="s">
        <v>659</v>
      </c>
      <c r="C85" t="s">
        <v>660</v>
      </c>
      <c r="D85" t="s">
        <v>22</v>
      </c>
      <c r="E85" t="s">
        <v>661</v>
      </c>
      <c r="F85" t="s">
        <v>662</v>
      </c>
      <c r="G85" t="s">
        <v>663</v>
      </c>
      <c r="H85" t="s">
        <v>597</v>
      </c>
      <c r="I85" t="s">
        <v>625</v>
      </c>
      <c r="J85" s="2">
        <v>53000</v>
      </c>
      <c r="K85" s="3">
        <v>45683</v>
      </c>
      <c r="L85" t="s">
        <v>28</v>
      </c>
      <c r="M85" t="s">
        <v>664</v>
      </c>
      <c r="N85" t="s">
        <v>204</v>
      </c>
      <c r="O85" s="2">
        <f t="shared" si="2"/>
        <v>53000</v>
      </c>
      <c r="P85" s="2">
        <f t="shared" si="3"/>
        <v>636000</v>
      </c>
      <c r="Q85" s="13" t="s">
        <v>90</v>
      </c>
      <c r="R85" s="9" t="s">
        <v>54</v>
      </c>
      <c r="S85" s="3">
        <v>30682</v>
      </c>
    </row>
    <row r="86" spans="1:19" ht="27.6">
      <c r="A86" t="s">
        <v>665</v>
      </c>
      <c r="B86" t="s">
        <v>666</v>
      </c>
      <c r="C86" t="s">
        <v>667</v>
      </c>
      <c r="D86" t="s">
        <v>22</v>
      </c>
      <c r="E86" t="s">
        <v>668</v>
      </c>
      <c r="F86" t="s">
        <v>669</v>
      </c>
      <c r="G86" t="s">
        <v>670</v>
      </c>
      <c r="H86" t="s">
        <v>597</v>
      </c>
      <c r="I86" t="s">
        <v>635</v>
      </c>
      <c r="J86" s="2">
        <v>77000</v>
      </c>
      <c r="K86" s="3">
        <v>45692</v>
      </c>
      <c r="L86" t="s">
        <v>28</v>
      </c>
      <c r="M86" t="s">
        <v>671</v>
      </c>
      <c r="N86" t="s">
        <v>106</v>
      </c>
      <c r="O86" s="2">
        <f t="shared" si="2"/>
        <v>77000</v>
      </c>
      <c r="P86" s="2">
        <f t="shared" si="3"/>
        <v>924000</v>
      </c>
      <c r="Q86" s="13" t="s">
        <v>608</v>
      </c>
      <c r="R86" s="9" t="s">
        <v>609</v>
      </c>
      <c r="S86" s="3">
        <v>33401</v>
      </c>
    </row>
    <row r="87" spans="1:19" ht="27.6">
      <c r="A87" t="s">
        <v>672</v>
      </c>
      <c r="B87" t="s">
        <v>673</v>
      </c>
      <c r="C87" t="s">
        <v>674</v>
      </c>
      <c r="D87" t="s">
        <v>22</v>
      </c>
      <c r="E87" t="s">
        <v>675</v>
      </c>
      <c r="F87" t="s">
        <v>676</v>
      </c>
      <c r="G87" t="s">
        <v>677</v>
      </c>
      <c r="H87" t="s">
        <v>597</v>
      </c>
      <c r="I87" t="s">
        <v>598</v>
      </c>
      <c r="J87" s="2">
        <v>52000</v>
      </c>
      <c r="K87" s="3">
        <v>45701</v>
      </c>
      <c r="L87" t="s">
        <v>28</v>
      </c>
      <c r="M87" t="s">
        <v>678</v>
      </c>
      <c r="N87" t="s">
        <v>73</v>
      </c>
      <c r="O87" s="2">
        <f t="shared" si="2"/>
        <v>52000</v>
      </c>
      <c r="P87" s="2">
        <f t="shared" si="3"/>
        <v>624000</v>
      </c>
      <c r="Q87" s="13" t="s">
        <v>618</v>
      </c>
      <c r="R87" s="9" t="s">
        <v>43</v>
      </c>
      <c r="S87" s="3">
        <v>36122</v>
      </c>
    </row>
    <row r="88" spans="1:19">
      <c r="A88" t="s">
        <v>679</v>
      </c>
      <c r="B88" t="s">
        <v>680</v>
      </c>
      <c r="C88" t="s">
        <v>467</v>
      </c>
      <c r="D88" t="s">
        <v>22</v>
      </c>
      <c r="E88" t="s">
        <v>681</v>
      </c>
      <c r="F88" t="s">
        <v>682</v>
      </c>
      <c r="G88" t="s">
        <v>683</v>
      </c>
      <c r="H88" t="s">
        <v>597</v>
      </c>
      <c r="I88" t="s">
        <v>606</v>
      </c>
      <c r="J88" s="2">
        <v>84000</v>
      </c>
      <c r="K88" s="3">
        <v>45710</v>
      </c>
      <c r="L88" t="s">
        <v>28</v>
      </c>
      <c r="M88" t="s">
        <v>684</v>
      </c>
      <c r="N88" t="s">
        <v>41</v>
      </c>
      <c r="O88" s="2">
        <f t="shared" si="2"/>
        <v>84000</v>
      </c>
      <c r="P88" s="2">
        <f t="shared" si="3"/>
        <v>1008000</v>
      </c>
      <c r="Q88" s="13" t="s">
        <v>627</v>
      </c>
      <c r="R88" s="9" t="s">
        <v>628</v>
      </c>
      <c r="S88" s="3">
        <v>27856</v>
      </c>
    </row>
    <row r="89" spans="1:19">
      <c r="A89" t="s">
        <v>685</v>
      </c>
      <c r="B89" t="s">
        <v>686</v>
      </c>
      <c r="C89" t="s">
        <v>687</v>
      </c>
      <c r="D89" t="s">
        <v>22</v>
      </c>
      <c r="E89" t="s">
        <v>688</v>
      </c>
      <c r="F89" t="s">
        <v>689</v>
      </c>
      <c r="G89" t="s">
        <v>690</v>
      </c>
      <c r="H89" t="s">
        <v>597</v>
      </c>
      <c r="I89" t="s">
        <v>616</v>
      </c>
      <c r="J89" s="2">
        <v>78000</v>
      </c>
      <c r="K89" s="3">
        <v>45719</v>
      </c>
      <c r="L89" t="s">
        <v>28</v>
      </c>
      <c r="M89" t="s">
        <v>691</v>
      </c>
      <c r="N89" t="s">
        <v>98</v>
      </c>
      <c r="O89" s="2">
        <f t="shared" si="2"/>
        <v>78000</v>
      </c>
      <c r="P89" s="2">
        <f t="shared" si="3"/>
        <v>936000</v>
      </c>
      <c r="Q89" s="13" t="s">
        <v>122</v>
      </c>
      <c r="R89" s="9" t="s">
        <v>54</v>
      </c>
      <c r="S89" s="3">
        <v>30576</v>
      </c>
    </row>
    <row r="90" spans="1:19" ht="27.6">
      <c r="A90" t="s">
        <v>692</v>
      </c>
      <c r="B90" t="s">
        <v>693</v>
      </c>
      <c r="C90" t="s">
        <v>694</v>
      </c>
      <c r="D90" t="s">
        <v>22</v>
      </c>
      <c r="E90" t="s">
        <v>695</v>
      </c>
      <c r="F90" t="s">
        <v>696</v>
      </c>
      <c r="G90" t="s">
        <v>697</v>
      </c>
      <c r="H90" t="s">
        <v>597</v>
      </c>
      <c r="I90" t="s">
        <v>625</v>
      </c>
      <c r="J90" s="2">
        <v>97000</v>
      </c>
      <c r="K90" s="3">
        <v>45728</v>
      </c>
      <c r="L90" t="s">
        <v>28</v>
      </c>
      <c r="M90" t="s">
        <v>698</v>
      </c>
      <c r="N90" t="s">
        <v>106</v>
      </c>
      <c r="O90" s="2">
        <f t="shared" si="2"/>
        <v>97000</v>
      </c>
      <c r="P90" s="2">
        <f t="shared" si="3"/>
        <v>1164000</v>
      </c>
      <c r="Q90" s="13" t="s">
        <v>608</v>
      </c>
      <c r="R90" s="9" t="s">
        <v>609</v>
      </c>
      <c r="S90" s="3">
        <v>32932</v>
      </c>
    </row>
    <row r="91" spans="1:19" ht="27.6">
      <c r="A91" t="s">
        <v>699</v>
      </c>
      <c r="B91" t="s">
        <v>700</v>
      </c>
      <c r="C91" t="s">
        <v>701</v>
      </c>
      <c r="D91" t="s">
        <v>22</v>
      </c>
      <c r="E91" t="s">
        <v>702</v>
      </c>
      <c r="F91" t="s">
        <v>703</v>
      </c>
      <c r="G91" t="s">
        <v>704</v>
      </c>
      <c r="H91" t="s">
        <v>597</v>
      </c>
      <c r="I91" t="s">
        <v>635</v>
      </c>
      <c r="J91" s="2">
        <v>117000</v>
      </c>
      <c r="K91" s="3">
        <v>45737</v>
      </c>
      <c r="L91" t="s">
        <v>28</v>
      </c>
      <c r="M91" t="s">
        <v>705</v>
      </c>
      <c r="N91" t="s">
        <v>41</v>
      </c>
      <c r="O91" s="2">
        <f t="shared" si="2"/>
        <v>117000</v>
      </c>
      <c r="P91" s="2">
        <f t="shared" si="3"/>
        <v>1404000</v>
      </c>
      <c r="Q91" s="13" t="s">
        <v>618</v>
      </c>
      <c r="R91" s="9" t="s">
        <v>43</v>
      </c>
      <c r="S91" s="3">
        <v>35622</v>
      </c>
    </row>
    <row r="92" spans="1:19">
      <c r="A92" t="s">
        <v>706</v>
      </c>
      <c r="B92" t="s">
        <v>707</v>
      </c>
      <c r="C92" t="s">
        <v>708</v>
      </c>
      <c r="D92" t="s">
        <v>22</v>
      </c>
      <c r="E92" t="s">
        <v>709</v>
      </c>
      <c r="F92" t="s">
        <v>710</v>
      </c>
      <c r="G92" t="s">
        <v>711</v>
      </c>
      <c r="H92" t="s">
        <v>597</v>
      </c>
      <c r="I92" t="s">
        <v>598</v>
      </c>
      <c r="J92" s="2">
        <v>63000</v>
      </c>
      <c r="K92" s="3">
        <v>45746</v>
      </c>
      <c r="L92" t="s">
        <v>28</v>
      </c>
      <c r="M92" t="s">
        <v>712</v>
      </c>
      <c r="N92" t="s">
        <v>98</v>
      </c>
      <c r="O92" s="2">
        <f t="shared" si="2"/>
        <v>63000</v>
      </c>
      <c r="P92" s="2">
        <f t="shared" si="3"/>
        <v>756000</v>
      </c>
      <c r="Q92" s="13" t="s">
        <v>627</v>
      </c>
      <c r="R92" s="9" t="s">
        <v>628</v>
      </c>
      <c r="S92" s="3">
        <v>38343</v>
      </c>
    </row>
    <row r="93" spans="1:19">
      <c r="A93" t="s">
        <v>713</v>
      </c>
      <c r="B93" t="s">
        <v>714</v>
      </c>
      <c r="C93" t="s">
        <v>715</v>
      </c>
      <c r="D93" t="s">
        <v>22</v>
      </c>
      <c r="E93" t="s">
        <v>716</v>
      </c>
      <c r="F93" t="s">
        <v>717</v>
      </c>
      <c r="G93" t="s">
        <v>718</v>
      </c>
      <c r="H93" t="s">
        <v>597</v>
      </c>
      <c r="I93" t="s">
        <v>606</v>
      </c>
      <c r="J93" s="2">
        <v>97000</v>
      </c>
      <c r="K93" s="3">
        <v>45755</v>
      </c>
      <c r="L93" t="s">
        <v>28</v>
      </c>
      <c r="M93" t="s">
        <v>719</v>
      </c>
      <c r="N93" t="s">
        <v>30</v>
      </c>
      <c r="O93" s="2">
        <f t="shared" si="2"/>
        <v>97000</v>
      </c>
      <c r="P93" s="2">
        <f t="shared" si="3"/>
        <v>1164000</v>
      </c>
      <c r="Q93" s="13" t="s">
        <v>152</v>
      </c>
      <c r="R93" s="9" t="s">
        <v>54</v>
      </c>
      <c r="S93" s="3">
        <v>30076</v>
      </c>
    </row>
    <row r="94" spans="1:19" ht="27.6">
      <c r="A94" t="s">
        <v>720</v>
      </c>
      <c r="B94" t="s">
        <v>721</v>
      </c>
      <c r="C94" t="s">
        <v>722</v>
      </c>
      <c r="D94" t="s">
        <v>22</v>
      </c>
      <c r="E94" t="s">
        <v>723</v>
      </c>
      <c r="F94" t="s">
        <v>724</v>
      </c>
      <c r="G94" t="s">
        <v>725</v>
      </c>
      <c r="H94" t="s">
        <v>597</v>
      </c>
      <c r="I94" t="s">
        <v>616</v>
      </c>
      <c r="J94" s="2">
        <v>84000</v>
      </c>
      <c r="K94" s="3">
        <v>45764</v>
      </c>
      <c r="L94" t="s">
        <v>28</v>
      </c>
      <c r="M94" t="s">
        <v>726</v>
      </c>
      <c r="N94" t="s">
        <v>204</v>
      </c>
      <c r="O94" s="2">
        <f t="shared" si="2"/>
        <v>84000</v>
      </c>
      <c r="P94" s="2">
        <f t="shared" si="3"/>
        <v>1008000</v>
      </c>
      <c r="Q94" s="13" t="s">
        <v>608</v>
      </c>
      <c r="R94" s="9" t="s">
        <v>609</v>
      </c>
      <c r="S94" s="3">
        <v>32797</v>
      </c>
    </row>
    <row r="95" spans="1:19" ht="27.6">
      <c r="A95" t="s">
        <v>727</v>
      </c>
      <c r="B95" t="s">
        <v>728</v>
      </c>
      <c r="C95" t="s">
        <v>729</v>
      </c>
      <c r="D95" t="s">
        <v>22</v>
      </c>
      <c r="E95" t="s">
        <v>730</v>
      </c>
      <c r="F95" t="s">
        <v>731</v>
      </c>
      <c r="G95" t="s">
        <v>732</v>
      </c>
      <c r="H95" t="s">
        <v>597</v>
      </c>
      <c r="I95" t="s">
        <v>625</v>
      </c>
      <c r="J95" s="2">
        <v>108000</v>
      </c>
      <c r="K95" s="3">
        <v>45773</v>
      </c>
      <c r="L95" t="s">
        <v>28</v>
      </c>
      <c r="M95" t="s">
        <v>733</v>
      </c>
      <c r="N95" t="s">
        <v>204</v>
      </c>
      <c r="O95" s="2">
        <f t="shared" si="2"/>
        <v>108000</v>
      </c>
      <c r="P95" s="2">
        <f t="shared" si="3"/>
        <v>1296000</v>
      </c>
      <c r="Q95" s="13" t="s">
        <v>618</v>
      </c>
      <c r="R95" s="9" t="s">
        <v>43</v>
      </c>
      <c r="S95" s="3">
        <v>35151</v>
      </c>
    </row>
    <row r="96" spans="1:19">
      <c r="A96" t="s">
        <v>734</v>
      </c>
      <c r="B96" t="s">
        <v>735</v>
      </c>
      <c r="C96" t="s">
        <v>736</v>
      </c>
      <c r="D96" t="s">
        <v>22</v>
      </c>
      <c r="E96" t="s">
        <v>737</v>
      </c>
      <c r="F96" t="s">
        <v>738</v>
      </c>
      <c r="G96" t="s">
        <v>739</v>
      </c>
      <c r="H96" t="s">
        <v>597</v>
      </c>
      <c r="I96" t="s">
        <v>635</v>
      </c>
      <c r="J96" s="2">
        <v>51000</v>
      </c>
      <c r="K96" s="3">
        <v>45782</v>
      </c>
      <c r="L96" t="s">
        <v>28</v>
      </c>
      <c r="M96" t="s">
        <v>740</v>
      </c>
      <c r="N96" t="s">
        <v>30</v>
      </c>
      <c r="O96" s="2">
        <f t="shared" si="2"/>
        <v>51000</v>
      </c>
      <c r="P96" s="2">
        <f t="shared" si="3"/>
        <v>612000</v>
      </c>
      <c r="Q96" s="13" t="s">
        <v>627</v>
      </c>
      <c r="R96" s="9" t="s">
        <v>628</v>
      </c>
      <c r="S96" s="3">
        <v>37843</v>
      </c>
    </row>
    <row r="97" spans="1:19" ht="27.6">
      <c r="A97" t="s">
        <v>741</v>
      </c>
      <c r="B97" t="s">
        <v>742</v>
      </c>
      <c r="C97" t="s">
        <v>743</v>
      </c>
      <c r="D97" t="s">
        <v>22</v>
      </c>
      <c r="E97" t="s">
        <v>744</v>
      </c>
      <c r="F97" t="s">
        <v>745</v>
      </c>
      <c r="G97" t="s">
        <v>746</v>
      </c>
      <c r="H97" t="s">
        <v>597</v>
      </c>
      <c r="I97" t="s">
        <v>598</v>
      </c>
      <c r="J97" s="2">
        <v>47000</v>
      </c>
      <c r="K97" s="3">
        <v>45791</v>
      </c>
      <c r="L97" t="s">
        <v>28</v>
      </c>
      <c r="M97" t="s">
        <v>747</v>
      </c>
      <c r="N97" t="s">
        <v>204</v>
      </c>
      <c r="O97" s="2">
        <f t="shared" si="2"/>
        <v>47000</v>
      </c>
      <c r="P97" s="2">
        <f t="shared" si="3"/>
        <v>564000</v>
      </c>
      <c r="Q97" s="13" t="s">
        <v>182</v>
      </c>
      <c r="R97" s="9" t="s">
        <v>54</v>
      </c>
      <c r="S97" s="3">
        <v>29607</v>
      </c>
    </row>
    <row r="98" spans="1:19" ht="27.6">
      <c r="A98" t="s">
        <v>748</v>
      </c>
      <c r="B98" t="s">
        <v>749</v>
      </c>
      <c r="C98" t="s">
        <v>750</v>
      </c>
      <c r="D98" t="s">
        <v>22</v>
      </c>
      <c r="E98" t="s">
        <v>751</v>
      </c>
      <c r="F98" t="s">
        <v>752</v>
      </c>
      <c r="G98" t="s">
        <v>753</v>
      </c>
      <c r="H98" t="s">
        <v>597</v>
      </c>
      <c r="I98" t="s">
        <v>606</v>
      </c>
      <c r="J98" s="2">
        <v>77000</v>
      </c>
      <c r="K98" s="3">
        <v>45800</v>
      </c>
      <c r="L98" t="s">
        <v>28</v>
      </c>
      <c r="M98" t="s">
        <v>754</v>
      </c>
      <c r="N98" t="s">
        <v>82</v>
      </c>
      <c r="O98" s="2">
        <f t="shared" si="2"/>
        <v>77000</v>
      </c>
      <c r="P98" s="2">
        <f t="shared" si="3"/>
        <v>924000</v>
      </c>
      <c r="Q98" s="13" t="s">
        <v>608</v>
      </c>
      <c r="R98" s="9" t="s">
        <v>609</v>
      </c>
      <c r="S98" s="3">
        <v>32298</v>
      </c>
    </row>
    <row r="99" spans="1:19" ht="27.6">
      <c r="A99" t="s">
        <v>755</v>
      </c>
      <c r="B99" t="s">
        <v>756</v>
      </c>
      <c r="C99" t="s">
        <v>757</v>
      </c>
      <c r="D99" t="s">
        <v>22</v>
      </c>
      <c r="E99" t="s">
        <v>758</v>
      </c>
      <c r="F99" t="s">
        <v>759</v>
      </c>
      <c r="G99" t="s">
        <v>760</v>
      </c>
      <c r="H99" t="s">
        <v>597</v>
      </c>
      <c r="I99" t="s">
        <v>616</v>
      </c>
      <c r="J99" s="2">
        <v>103000</v>
      </c>
      <c r="K99" s="3">
        <v>45809</v>
      </c>
      <c r="L99" t="s">
        <v>28</v>
      </c>
      <c r="M99" t="s">
        <v>761</v>
      </c>
      <c r="N99" t="s">
        <v>73</v>
      </c>
      <c r="O99" s="2">
        <f t="shared" si="2"/>
        <v>103000</v>
      </c>
      <c r="P99" s="2">
        <f t="shared" si="3"/>
        <v>1236000</v>
      </c>
      <c r="Q99" s="13" t="s">
        <v>618</v>
      </c>
      <c r="R99" s="9" t="s">
        <v>43</v>
      </c>
      <c r="S99" s="3">
        <v>35018</v>
      </c>
    </row>
    <row r="100" spans="1:19">
      <c r="A100" t="s">
        <v>762</v>
      </c>
      <c r="B100" t="s">
        <v>763</v>
      </c>
      <c r="C100" t="s">
        <v>550</v>
      </c>
      <c r="D100" t="s">
        <v>22</v>
      </c>
      <c r="E100" t="s">
        <v>764</v>
      </c>
      <c r="F100" t="s">
        <v>765</v>
      </c>
      <c r="G100" t="s">
        <v>766</v>
      </c>
      <c r="H100" t="s">
        <v>597</v>
      </c>
      <c r="I100" t="s">
        <v>625</v>
      </c>
      <c r="J100" s="2">
        <v>92000</v>
      </c>
      <c r="K100" s="3">
        <v>45818</v>
      </c>
      <c r="L100" t="s">
        <v>218</v>
      </c>
      <c r="M100" t="s">
        <v>767</v>
      </c>
      <c r="N100" t="s">
        <v>98</v>
      </c>
      <c r="O100" s="2">
        <f t="shared" si="2"/>
        <v>92000</v>
      </c>
      <c r="P100" s="2">
        <f t="shared" si="3"/>
        <v>1104000</v>
      </c>
      <c r="Q100" s="13" t="s">
        <v>627</v>
      </c>
      <c r="R100" s="9" t="s">
        <v>628</v>
      </c>
      <c r="S100" s="3">
        <v>37372</v>
      </c>
    </row>
    <row r="101" spans="1:19">
      <c r="A101" t="s">
        <v>768</v>
      </c>
      <c r="B101" t="s">
        <v>769</v>
      </c>
      <c r="C101" t="s">
        <v>770</v>
      </c>
      <c r="D101" t="s">
        <v>22</v>
      </c>
      <c r="E101" t="s">
        <v>771</v>
      </c>
      <c r="F101" t="s">
        <v>772</v>
      </c>
      <c r="G101" t="s">
        <v>773</v>
      </c>
      <c r="H101" t="s">
        <v>597</v>
      </c>
      <c r="I101" t="s">
        <v>635</v>
      </c>
      <c r="J101" s="2">
        <v>80000</v>
      </c>
      <c r="K101" s="3">
        <v>45827</v>
      </c>
      <c r="L101" t="s">
        <v>28</v>
      </c>
      <c r="M101" t="s">
        <v>774</v>
      </c>
      <c r="N101" t="s">
        <v>106</v>
      </c>
      <c r="O101" s="2">
        <f t="shared" si="2"/>
        <v>80000</v>
      </c>
      <c r="P101" s="2">
        <f t="shared" si="3"/>
        <v>960000</v>
      </c>
      <c r="Q101" s="13" t="s">
        <v>53</v>
      </c>
      <c r="R101" s="9" t="s">
        <v>54</v>
      </c>
      <c r="S101" s="3">
        <v>29473</v>
      </c>
    </row>
    <row r="102" spans="1:19" ht="27.6">
      <c r="A102" t="s">
        <v>775</v>
      </c>
      <c r="B102" t="s">
        <v>776</v>
      </c>
      <c r="C102" t="s">
        <v>777</v>
      </c>
      <c r="D102" t="s">
        <v>22</v>
      </c>
      <c r="E102" t="s">
        <v>778</v>
      </c>
      <c r="F102" t="s">
        <v>779</v>
      </c>
      <c r="G102" t="s">
        <v>780</v>
      </c>
      <c r="H102" t="s">
        <v>781</v>
      </c>
      <c r="I102" t="s">
        <v>782</v>
      </c>
      <c r="J102" s="2">
        <v>107000</v>
      </c>
      <c r="K102" s="3">
        <v>45836</v>
      </c>
      <c r="L102" t="s">
        <v>28</v>
      </c>
      <c r="M102" t="s">
        <v>783</v>
      </c>
      <c r="N102" t="s">
        <v>52</v>
      </c>
      <c r="O102" s="2">
        <f t="shared" si="2"/>
        <v>107000</v>
      </c>
      <c r="P102" s="2">
        <f t="shared" si="3"/>
        <v>1284000</v>
      </c>
      <c r="Q102" s="13" t="s">
        <v>618</v>
      </c>
      <c r="R102" s="9" t="s">
        <v>43</v>
      </c>
      <c r="S102" s="3">
        <v>31828</v>
      </c>
    </row>
    <row r="103" spans="1:19">
      <c r="A103" t="s">
        <v>784</v>
      </c>
      <c r="B103" t="s">
        <v>785</v>
      </c>
      <c r="C103" t="s">
        <v>786</v>
      </c>
      <c r="D103" t="s">
        <v>22</v>
      </c>
      <c r="E103" t="s">
        <v>787</v>
      </c>
      <c r="F103" t="s">
        <v>788</v>
      </c>
      <c r="G103" t="s">
        <v>789</v>
      </c>
      <c r="H103" t="s">
        <v>781</v>
      </c>
      <c r="I103" t="s">
        <v>790</v>
      </c>
      <c r="J103" s="2">
        <v>52000</v>
      </c>
      <c r="K103" s="3">
        <v>45845</v>
      </c>
      <c r="L103" t="s">
        <v>28</v>
      </c>
      <c r="M103" t="s">
        <v>791</v>
      </c>
      <c r="N103" t="s">
        <v>30</v>
      </c>
      <c r="O103" s="2">
        <f t="shared" si="2"/>
        <v>52000</v>
      </c>
      <c r="P103" s="2">
        <f t="shared" si="3"/>
        <v>624000</v>
      </c>
      <c r="Q103" s="13" t="s">
        <v>792</v>
      </c>
      <c r="R103" s="9" t="s">
        <v>793</v>
      </c>
      <c r="S103" s="3">
        <v>34518</v>
      </c>
    </row>
    <row r="104" spans="1:19">
      <c r="A104" t="s">
        <v>794</v>
      </c>
      <c r="B104" t="s">
        <v>795</v>
      </c>
      <c r="C104" t="s">
        <v>796</v>
      </c>
      <c r="D104" t="s">
        <v>22</v>
      </c>
      <c r="E104" t="s">
        <v>797</v>
      </c>
      <c r="F104" t="s">
        <v>798</v>
      </c>
      <c r="G104" t="s">
        <v>799</v>
      </c>
      <c r="H104" t="s">
        <v>781</v>
      </c>
      <c r="I104" t="s">
        <v>800</v>
      </c>
      <c r="J104" s="2">
        <v>96000</v>
      </c>
      <c r="K104" s="3">
        <v>45854</v>
      </c>
      <c r="L104" t="s">
        <v>28</v>
      </c>
      <c r="M104" t="s">
        <v>801</v>
      </c>
      <c r="N104" t="s">
        <v>82</v>
      </c>
      <c r="O104" s="2">
        <f t="shared" si="2"/>
        <v>96000</v>
      </c>
      <c r="P104" s="2">
        <f t="shared" si="3"/>
        <v>1152000</v>
      </c>
      <c r="Q104" s="13" t="s">
        <v>90</v>
      </c>
      <c r="R104" s="9" t="s">
        <v>54</v>
      </c>
      <c r="S104" s="3">
        <v>37239</v>
      </c>
    </row>
    <row r="105" spans="1:19" ht="27.6">
      <c r="A105" t="s">
        <v>802</v>
      </c>
      <c r="B105" t="s">
        <v>803</v>
      </c>
      <c r="C105" t="s">
        <v>804</v>
      </c>
      <c r="D105" t="s">
        <v>22</v>
      </c>
      <c r="E105" t="s">
        <v>805</v>
      </c>
      <c r="F105" t="s">
        <v>806</v>
      </c>
      <c r="G105" t="s">
        <v>807</v>
      </c>
      <c r="H105" t="s">
        <v>781</v>
      </c>
      <c r="I105" t="s">
        <v>808</v>
      </c>
      <c r="J105" s="2">
        <v>107000</v>
      </c>
      <c r="K105" s="3">
        <v>45863</v>
      </c>
      <c r="L105" t="s">
        <v>28</v>
      </c>
      <c r="M105" t="s">
        <v>809</v>
      </c>
      <c r="N105" t="s">
        <v>98</v>
      </c>
      <c r="O105" s="2">
        <f t="shared" si="2"/>
        <v>107000</v>
      </c>
      <c r="P105" s="2">
        <f t="shared" si="3"/>
        <v>1284000</v>
      </c>
      <c r="Q105" s="13" t="s">
        <v>608</v>
      </c>
      <c r="R105" s="9" t="s">
        <v>609</v>
      </c>
      <c r="S105" s="3">
        <v>29000</v>
      </c>
    </row>
    <row r="106" spans="1:19" ht="27.6">
      <c r="A106" t="s">
        <v>810</v>
      </c>
      <c r="B106" t="s">
        <v>811</v>
      </c>
      <c r="C106" t="s">
        <v>812</v>
      </c>
      <c r="D106" t="s">
        <v>22</v>
      </c>
      <c r="E106" t="s">
        <v>813</v>
      </c>
      <c r="F106" t="s">
        <v>814</v>
      </c>
      <c r="G106" t="s">
        <v>815</v>
      </c>
      <c r="H106" t="s">
        <v>781</v>
      </c>
      <c r="I106" t="s">
        <v>816</v>
      </c>
      <c r="J106" s="2">
        <v>93000</v>
      </c>
      <c r="K106" s="3">
        <v>45872</v>
      </c>
      <c r="L106" t="s">
        <v>28</v>
      </c>
      <c r="M106" t="s">
        <v>817</v>
      </c>
      <c r="N106" t="s">
        <v>82</v>
      </c>
      <c r="O106" s="2">
        <f t="shared" si="2"/>
        <v>93000</v>
      </c>
      <c r="P106" s="2">
        <f t="shared" si="3"/>
        <v>1116000</v>
      </c>
      <c r="Q106" s="13" t="s">
        <v>618</v>
      </c>
      <c r="R106" s="9" t="s">
        <v>43</v>
      </c>
      <c r="S106" s="3">
        <v>31693</v>
      </c>
    </row>
    <row r="107" spans="1:19">
      <c r="A107" t="s">
        <v>818</v>
      </c>
      <c r="B107" t="s">
        <v>819</v>
      </c>
      <c r="C107" t="s">
        <v>601</v>
      </c>
      <c r="D107" t="s">
        <v>22</v>
      </c>
      <c r="E107" t="s">
        <v>820</v>
      </c>
      <c r="F107" t="s">
        <v>821</v>
      </c>
      <c r="G107" t="s">
        <v>822</v>
      </c>
      <c r="H107" t="s">
        <v>781</v>
      </c>
      <c r="I107" t="s">
        <v>782</v>
      </c>
      <c r="J107" s="2">
        <v>55000</v>
      </c>
      <c r="K107" s="3">
        <v>45881</v>
      </c>
      <c r="L107" t="s">
        <v>28</v>
      </c>
      <c r="M107" t="s">
        <v>823</v>
      </c>
      <c r="N107" t="s">
        <v>73</v>
      </c>
      <c r="O107" s="2">
        <f t="shared" si="2"/>
        <v>55000</v>
      </c>
      <c r="P107" s="2">
        <f t="shared" si="3"/>
        <v>660000</v>
      </c>
      <c r="Q107" s="13" t="s">
        <v>792</v>
      </c>
      <c r="R107" s="9" t="s">
        <v>793</v>
      </c>
      <c r="S107" s="3">
        <v>34047</v>
      </c>
    </row>
    <row r="108" spans="1:19">
      <c r="A108" t="s">
        <v>824</v>
      </c>
      <c r="B108" t="s">
        <v>825</v>
      </c>
      <c r="C108" t="s">
        <v>826</v>
      </c>
      <c r="D108" t="s">
        <v>22</v>
      </c>
      <c r="E108" t="s">
        <v>827</v>
      </c>
      <c r="F108" t="s">
        <v>828</v>
      </c>
      <c r="G108" t="s">
        <v>829</v>
      </c>
      <c r="H108" t="s">
        <v>781</v>
      </c>
      <c r="I108" t="s">
        <v>790</v>
      </c>
      <c r="J108" s="2">
        <v>80000</v>
      </c>
      <c r="K108" s="3">
        <v>45890</v>
      </c>
      <c r="L108" t="s">
        <v>28</v>
      </c>
      <c r="M108" t="s">
        <v>830</v>
      </c>
      <c r="N108" t="s">
        <v>41</v>
      </c>
      <c r="O108" s="2">
        <f t="shared" si="2"/>
        <v>80000</v>
      </c>
      <c r="P108" s="2">
        <f t="shared" si="3"/>
        <v>960000</v>
      </c>
      <c r="Q108" s="13" t="s">
        <v>122</v>
      </c>
      <c r="R108" s="9" t="s">
        <v>54</v>
      </c>
      <c r="S108" s="3">
        <v>36740</v>
      </c>
    </row>
    <row r="109" spans="1:19" ht="27.6">
      <c r="A109" t="s">
        <v>831</v>
      </c>
      <c r="B109" t="s">
        <v>832</v>
      </c>
      <c r="C109" t="s">
        <v>833</v>
      </c>
      <c r="D109" t="s">
        <v>22</v>
      </c>
      <c r="E109" t="s">
        <v>834</v>
      </c>
      <c r="F109" t="s">
        <v>835</v>
      </c>
      <c r="G109" t="s">
        <v>836</v>
      </c>
      <c r="H109" t="s">
        <v>781</v>
      </c>
      <c r="I109" t="s">
        <v>800</v>
      </c>
      <c r="J109" s="2">
        <v>79000</v>
      </c>
      <c r="K109" s="3">
        <v>45899</v>
      </c>
      <c r="L109" t="s">
        <v>28</v>
      </c>
      <c r="M109" t="s">
        <v>837</v>
      </c>
      <c r="N109" t="s">
        <v>41</v>
      </c>
      <c r="O109" s="2">
        <f t="shared" si="2"/>
        <v>79000</v>
      </c>
      <c r="P109" s="2">
        <f t="shared" si="3"/>
        <v>948000</v>
      </c>
      <c r="Q109" s="13" t="s">
        <v>608</v>
      </c>
      <c r="R109" s="9" t="s">
        <v>609</v>
      </c>
      <c r="S109" s="3">
        <v>28503</v>
      </c>
    </row>
    <row r="110" spans="1:19" ht="27.6">
      <c r="A110" t="s">
        <v>838</v>
      </c>
      <c r="B110" t="s">
        <v>839</v>
      </c>
      <c r="C110" t="s">
        <v>840</v>
      </c>
      <c r="D110" t="s">
        <v>22</v>
      </c>
      <c r="E110" t="s">
        <v>841</v>
      </c>
      <c r="F110" t="s">
        <v>842</v>
      </c>
      <c r="G110" t="s">
        <v>843</v>
      </c>
      <c r="H110" t="s">
        <v>781</v>
      </c>
      <c r="I110" t="s">
        <v>808</v>
      </c>
      <c r="J110" s="2">
        <v>49000</v>
      </c>
      <c r="K110" s="3">
        <v>45908</v>
      </c>
      <c r="L110" t="s">
        <v>28</v>
      </c>
      <c r="M110" t="s">
        <v>844</v>
      </c>
      <c r="N110" t="s">
        <v>41</v>
      </c>
      <c r="O110" s="2">
        <f t="shared" si="2"/>
        <v>49000</v>
      </c>
      <c r="P110" s="2">
        <f t="shared" si="3"/>
        <v>588000</v>
      </c>
      <c r="Q110" s="13" t="s">
        <v>618</v>
      </c>
      <c r="R110" s="9" t="s">
        <v>43</v>
      </c>
      <c r="S110" s="3">
        <v>31222</v>
      </c>
    </row>
    <row r="111" spans="1:19">
      <c r="A111" t="s">
        <v>845</v>
      </c>
      <c r="B111" t="s">
        <v>846</v>
      </c>
      <c r="C111" t="s">
        <v>847</v>
      </c>
      <c r="D111" t="s">
        <v>22</v>
      </c>
      <c r="E111" t="s">
        <v>848</v>
      </c>
      <c r="F111" t="s">
        <v>849</v>
      </c>
      <c r="G111" t="s">
        <v>850</v>
      </c>
      <c r="H111" t="s">
        <v>781</v>
      </c>
      <c r="I111" t="s">
        <v>816</v>
      </c>
      <c r="J111" s="2">
        <v>50000</v>
      </c>
      <c r="K111" s="3">
        <v>45917</v>
      </c>
      <c r="L111" t="s">
        <v>28</v>
      </c>
      <c r="M111" t="s">
        <v>851</v>
      </c>
      <c r="N111" t="s">
        <v>106</v>
      </c>
      <c r="O111" s="2">
        <f t="shared" si="2"/>
        <v>50000</v>
      </c>
      <c r="P111" s="2">
        <f t="shared" si="3"/>
        <v>600000</v>
      </c>
      <c r="Q111" s="13" t="s">
        <v>792</v>
      </c>
      <c r="R111" s="9" t="s">
        <v>793</v>
      </c>
      <c r="S111" s="3">
        <v>33915</v>
      </c>
    </row>
    <row r="112" spans="1:19">
      <c r="A112" t="s">
        <v>852</v>
      </c>
      <c r="B112" t="s">
        <v>853</v>
      </c>
      <c r="C112" t="s">
        <v>854</v>
      </c>
      <c r="D112" t="s">
        <v>22</v>
      </c>
      <c r="E112" t="s">
        <v>855</v>
      </c>
      <c r="F112" t="s">
        <v>856</v>
      </c>
      <c r="G112" t="s">
        <v>857</v>
      </c>
      <c r="H112" t="s">
        <v>781</v>
      </c>
      <c r="I112" t="s">
        <v>782</v>
      </c>
      <c r="J112" s="2">
        <v>90000</v>
      </c>
      <c r="K112" s="3">
        <v>45926</v>
      </c>
      <c r="L112" t="s">
        <v>28</v>
      </c>
      <c r="M112" t="s">
        <v>858</v>
      </c>
      <c r="N112" t="s">
        <v>204</v>
      </c>
      <c r="O112" s="2">
        <f t="shared" si="2"/>
        <v>90000</v>
      </c>
      <c r="P112" s="2">
        <f t="shared" si="3"/>
        <v>1080000</v>
      </c>
      <c r="Q112" s="13" t="s">
        <v>152</v>
      </c>
      <c r="R112" s="9" t="s">
        <v>54</v>
      </c>
      <c r="S112" s="3">
        <v>36268</v>
      </c>
    </row>
    <row r="113" spans="1:19" ht="27.6">
      <c r="A113" t="s">
        <v>859</v>
      </c>
      <c r="B113" t="s">
        <v>860</v>
      </c>
      <c r="C113" t="s">
        <v>861</v>
      </c>
      <c r="D113" t="s">
        <v>22</v>
      </c>
      <c r="E113" t="s">
        <v>862</v>
      </c>
      <c r="F113" t="s">
        <v>863</v>
      </c>
      <c r="G113" t="s">
        <v>864</v>
      </c>
      <c r="H113" t="s">
        <v>781</v>
      </c>
      <c r="I113" t="s">
        <v>790</v>
      </c>
      <c r="J113" s="2">
        <v>47000</v>
      </c>
      <c r="K113" s="3">
        <v>45935</v>
      </c>
      <c r="L113" t="s">
        <v>28</v>
      </c>
      <c r="M113" t="s">
        <v>865</v>
      </c>
      <c r="N113" t="s">
        <v>73</v>
      </c>
      <c r="O113" s="2">
        <f t="shared" si="2"/>
        <v>47000</v>
      </c>
      <c r="P113" s="2">
        <f t="shared" si="3"/>
        <v>564000</v>
      </c>
      <c r="Q113" s="13" t="s">
        <v>608</v>
      </c>
      <c r="R113" s="9" t="s">
        <v>609</v>
      </c>
      <c r="S113" s="3">
        <v>28369</v>
      </c>
    </row>
    <row r="114" spans="1:19" ht="27.6">
      <c r="A114" t="s">
        <v>866</v>
      </c>
      <c r="B114" t="s">
        <v>867</v>
      </c>
      <c r="C114" t="s">
        <v>868</v>
      </c>
      <c r="D114" t="s">
        <v>22</v>
      </c>
      <c r="E114" t="s">
        <v>869</v>
      </c>
      <c r="F114" t="s">
        <v>870</v>
      </c>
      <c r="G114" t="s">
        <v>871</v>
      </c>
      <c r="H114" t="s">
        <v>781</v>
      </c>
      <c r="I114" t="s">
        <v>800</v>
      </c>
      <c r="J114" s="2">
        <v>43000</v>
      </c>
      <c r="K114" s="3">
        <v>45944</v>
      </c>
      <c r="L114" t="s">
        <v>28</v>
      </c>
      <c r="M114" t="s">
        <v>872</v>
      </c>
      <c r="N114" t="s">
        <v>52</v>
      </c>
      <c r="O114" s="2">
        <f t="shared" si="2"/>
        <v>43000</v>
      </c>
      <c r="P114" s="2">
        <f t="shared" si="3"/>
        <v>516000</v>
      </c>
      <c r="Q114" s="13" t="s">
        <v>618</v>
      </c>
      <c r="R114" s="9" t="s">
        <v>43</v>
      </c>
      <c r="S114" s="3">
        <v>30724</v>
      </c>
    </row>
    <row r="115" spans="1:19">
      <c r="A115" t="s">
        <v>873</v>
      </c>
      <c r="B115" t="s">
        <v>874</v>
      </c>
      <c r="C115" t="s">
        <v>875</v>
      </c>
      <c r="D115" t="s">
        <v>22</v>
      </c>
      <c r="E115" t="s">
        <v>876</v>
      </c>
      <c r="F115" t="s">
        <v>877</v>
      </c>
      <c r="G115" t="s">
        <v>878</v>
      </c>
      <c r="H115" t="s">
        <v>781</v>
      </c>
      <c r="I115" t="s">
        <v>808</v>
      </c>
      <c r="J115" s="2">
        <v>41000</v>
      </c>
      <c r="K115" s="3">
        <v>45953</v>
      </c>
      <c r="L115" t="s">
        <v>28</v>
      </c>
      <c r="M115" t="s">
        <v>879</v>
      </c>
      <c r="N115" t="s">
        <v>41</v>
      </c>
      <c r="O115" s="2">
        <f t="shared" si="2"/>
        <v>41000</v>
      </c>
      <c r="P115" s="2">
        <f t="shared" si="3"/>
        <v>492000</v>
      </c>
      <c r="Q115" s="13" t="s">
        <v>792</v>
      </c>
      <c r="R115" s="9" t="s">
        <v>793</v>
      </c>
      <c r="S115" s="3">
        <v>33442</v>
      </c>
    </row>
    <row r="116" spans="1:19" ht="27.6">
      <c r="A116" t="s">
        <v>880</v>
      </c>
      <c r="B116" t="s">
        <v>881</v>
      </c>
      <c r="C116" t="s">
        <v>882</v>
      </c>
      <c r="D116" t="s">
        <v>22</v>
      </c>
      <c r="E116" t="s">
        <v>883</v>
      </c>
      <c r="F116" t="s">
        <v>884</v>
      </c>
      <c r="G116" t="s">
        <v>885</v>
      </c>
      <c r="H116" t="s">
        <v>781</v>
      </c>
      <c r="I116" t="s">
        <v>816</v>
      </c>
      <c r="J116" s="2">
        <v>95000</v>
      </c>
      <c r="K116" s="3">
        <v>45962</v>
      </c>
      <c r="L116" t="s">
        <v>28</v>
      </c>
      <c r="M116" t="s">
        <v>886</v>
      </c>
      <c r="N116" t="s">
        <v>82</v>
      </c>
      <c r="O116" s="2">
        <f t="shared" si="2"/>
        <v>95000</v>
      </c>
      <c r="P116" s="2">
        <f t="shared" si="3"/>
        <v>1140000</v>
      </c>
      <c r="Q116" s="13" t="s">
        <v>182</v>
      </c>
      <c r="R116" s="9" t="s">
        <v>54</v>
      </c>
      <c r="S116" s="3">
        <v>36135</v>
      </c>
    </row>
    <row r="117" spans="1:19" ht="27.6">
      <c r="A117" t="s">
        <v>887</v>
      </c>
      <c r="B117" t="s">
        <v>888</v>
      </c>
      <c r="C117" t="s">
        <v>889</v>
      </c>
      <c r="D117" t="s">
        <v>22</v>
      </c>
      <c r="E117" t="s">
        <v>890</v>
      </c>
      <c r="F117" t="s">
        <v>891</v>
      </c>
      <c r="G117" t="s">
        <v>892</v>
      </c>
      <c r="H117" t="s">
        <v>781</v>
      </c>
      <c r="I117" t="s">
        <v>782</v>
      </c>
      <c r="J117" s="2">
        <v>56000</v>
      </c>
      <c r="K117" s="3">
        <v>45971</v>
      </c>
      <c r="L117" t="s">
        <v>28</v>
      </c>
      <c r="M117" t="s">
        <v>893</v>
      </c>
      <c r="N117" t="s">
        <v>52</v>
      </c>
      <c r="O117" s="2">
        <f t="shared" si="2"/>
        <v>56000</v>
      </c>
      <c r="P117" s="2">
        <f t="shared" si="3"/>
        <v>672000</v>
      </c>
      <c r="Q117" s="13" t="s">
        <v>608</v>
      </c>
      <c r="R117" s="9" t="s">
        <v>609</v>
      </c>
      <c r="S117" s="3">
        <v>27897</v>
      </c>
    </row>
    <row r="118" spans="1:19" ht="27.6">
      <c r="A118" t="s">
        <v>894</v>
      </c>
      <c r="B118" t="s">
        <v>895</v>
      </c>
      <c r="C118" t="s">
        <v>896</v>
      </c>
      <c r="D118" t="s">
        <v>22</v>
      </c>
      <c r="E118" t="s">
        <v>897</v>
      </c>
      <c r="F118" t="s">
        <v>898</v>
      </c>
      <c r="G118" t="s">
        <v>899</v>
      </c>
      <c r="H118" t="s">
        <v>781</v>
      </c>
      <c r="I118" t="s">
        <v>790</v>
      </c>
      <c r="J118" s="2">
        <v>74000</v>
      </c>
      <c r="K118" s="3">
        <v>45980</v>
      </c>
      <c r="L118" t="s">
        <v>28</v>
      </c>
      <c r="M118" t="s">
        <v>900</v>
      </c>
      <c r="N118" t="s">
        <v>41</v>
      </c>
      <c r="O118" s="2">
        <f t="shared" si="2"/>
        <v>74000</v>
      </c>
      <c r="P118" s="2">
        <f t="shared" si="3"/>
        <v>888000</v>
      </c>
      <c r="Q118" s="13" t="s">
        <v>618</v>
      </c>
      <c r="R118" s="9" t="s">
        <v>43</v>
      </c>
      <c r="S118" s="3">
        <v>30617</v>
      </c>
    </row>
    <row r="119" spans="1:19">
      <c r="A119" t="s">
        <v>901</v>
      </c>
      <c r="B119" t="s">
        <v>902</v>
      </c>
      <c r="C119" t="s">
        <v>693</v>
      </c>
      <c r="D119" t="s">
        <v>22</v>
      </c>
      <c r="E119" t="s">
        <v>903</v>
      </c>
      <c r="F119" t="s">
        <v>904</v>
      </c>
      <c r="G119" t="s">
        <v>905</v>
      </c>
      <c r="H119" t="s">
        <v>781</v>
      </c>
      <c r="I119" t="s">
        <v>800</v>
      </c>
      <c r="J119" s="2">
        <v>107000</v>
      </c>
      <c r="K119" s="3">
        <v>45989</v>
      </c>
      <c r="L119" t="s">
        <v>28</v>
      </c>
      <c r="M119" t="s">
        <v>906</v>
      </c>
      <c r="N119" t="s">
        <v>106</v>
      </c>
      <c r="O119" s="2">
        <f t="shared" si="2"/>
        <v>107000</v>
      </c>
      <c r="P119" s="2">
        <f t="shared" si="3"/>
        <v>1284000</v>
      </c>
      <c r="Q119" s="13" t="s">
        <v>792</v>
      </c>
      <c r="R119" s="9" t="s">
        <v>793</v>
      </c>
      <c r="S119" s="3">
        <v>32943</v>
      </c>
    </row>
    <row r="120" spans="1:19">
      <c r="A120" t="s">
        <v>907</v>
      </c>
      <c r="B120" t="s">
        <v>908</v>
      </c>
      <c r="C120" t="s">
        <v>909</v>
      </c>
      <c r="D120" t="s">
        <v>22</v>
      </c>
      <c r="E120" t="s">
        <v>910</v>
      </c>
      <c r="F120" t="s">
        <v>911</v>
      </c>
      <c r="G120" t="s">
        <v>912</v>
      </c>
      <c r="H120" t="s">
        <v>781</v>
      </c>
      <c r="I120" t="s">
        <v>808</v>
      </c>
      <c r="J120" s="2">
        <v>93000</v>
      </c>
      <c r="K120" s="3">
        <v>45998</v>
      </c>
      <c r="L120" t="s">
        <v>28</v>
      </c>
      <c r="M120" t="s">
        <v>913</v>
      </c>
      <c r="N120" t="s">
        <v>73</v>
      </c>
      <c r="O120" s="2">
        <f t="shared" si="2"/>
        <v>93000</v>
      </c>
      <c r="P120" s="2">
        <f t="shared" si="3"/>
        <v>1116000</v>
      </c>
      <c r="Q120" s="13" t="s">
        <v>53</v>
      </c>
      <c r="R120" s="9" t="s">
        <v>54</v>
      </c>
      <c r="S120" s="3">
        <v>35664</v>
      </c>
    </row>
    <row r="121" spans="1:19" ht="27.6">
      <c r="A121" t="s">
        <v>914</v>
      </c>
      <c r="B121" t="s">
        <v>915</v>
      </c>
      <c r="C121" t="s">
        <v>916</v>
      </c>
      <c r="D121" t="s">
        <v>22</v>
      </c>
      <c r="E121" t="s">
        <v>917</v>
      </c>
      <c r="F121" t="s">
        <v>918</v>
      </c>
      <c r="G121" t="s">
        <v>919</v>
      </c>
      <c r="H121" t="s">
        <v>781</v>
      </c>
      <c r="I121" t="s">
        <v>816</v>
      </c>
      <c r="J121" s="2">
        <v>57000</v>
      </c>
      <c r="K121" s="3">
        <v>46007</v>
      </c>
      <c r="L121" t="s">
        <v>28</v>
      </c>
      <c r="M121" t="s">
        <v>920</v>
      </c>
      <c r="N121" t="s">
        <v>106</v>
      </c>
      <c r="O121" s="2">
        <f t="shared" si="2"/>
        <v>57000</v>
      </c>
      <c r="P121" s="2">
        <f t="shared" si="3"/>
        <v>684000</v>
      </c>
      <c r="Q121" s="13" t="s">
        <v>608</v>
      </c>
      <c r="R121" s="9" t="s">
        <v>609</v>
      </c>
      <c r="S121" s="3">
        <v>37991</v>
      </c>
    </row>
    <row r="122" spans="1:19" ht="27.6">
      <c r="A122" t="s">
        <v>921</v>
      </c>
      <c r="B122" t="s">
        <v>922</v>
      </c>
      <c r="C122" t="s">
        <v>923</v>
      </c>
      <c r="D122" t="s">
        <v>22</v>
      </c>
      <c r="E122" t="s">
        <v>924</v>
      </c>
      <c r="F122" t="s">
        <v>925</v>
      </c>
      <c r="G122" t="s">
        <v>926</v>
      </c>
      <c r="H122" t="s">
        <v>781</v>
      </c>
      <c r="I122" t="s">
        <v>782</v>
      </c>
      <c r="J122" s="2">
        <v>99000</v>
      </c>
      <c r="K122" s="3">
        <v>46016</v>
      </c>
      <c r="L122" t="s">
        <v>28</v>
      </c>
      <c r="M122" t="s">
        <v>927</v>
      </c>
      <c r="N122" t="s">
        <v>106</v>
      </c>
      <c r="O122" s="2">
        <f t="shared" si="2"/>
        <v>99000</v>
      </c>
      <c r="P122" s="2">
        <f t="shared" si="3"/>
        <v>1188000</v>
      </c>
      <c r="Q122" s="13" t="s">
        <v>618</v>
      </c>
      <c r="R122" s="9" t="s">
        <v>43</v>
      </c>
      <c r="S122" s="3">
        <v>30118</v>
      </c>
    </row>
    <row r="123" spans="1:19">
      <c r="A123" t="s">
        <v>928</v>
      </c>
      <c r="B123" t="s">
        <v>929</v>
      </c>
      <c r="C123" t="s">
        <v>930</v>
      </c>
      <c r="D123" t="s">
        <v>22</v>
      </c>
      <c r="E123" t="s">
        <v>931</v>
      </c>
      <c r="F123" t="s">
        <v>932</v>
      </c>
      <c r="G123" t="s">
        <v>933</v>
      </c>
      <c r="H123" t="s">
        <v>781</v>
      </c>
      <c r="I123" t="s">
        <v>790</v>
      </c>
      <c r="J123" s="2">
        <v>88000</v>
      </c>
      <c r="K123" s="3">
        <v>46025</v>
      </c>
      <c r="L123" t="s">
        <v>28</v>
      </c>
      <c r="M123" t="s">
        <v>934</v>
      </c>
      <c r="N123" t="s">
        <v>204</v>
      </c>
      <c r="O123" s="2">
        <f t="shared" si="2"/>
        <v>88000</v>
      </c>
      <c r="P123" s="2">
        <f t="shared" si="3"/>
        <v>1056000</v>
      </c>
      <c r="Q123" s="13" t="s">
        <v>792</v>
      </c>
      <c r="R123" s="9" t="s">
        <v>793</v>
      </c>
      <c r="S123" s="3">
        <v>32839</v>
      </c>
    </row>
    <row r="124" spans="1:19">
      <c r="A124" t="s">
        <v>935</v>
      </c>
      <c r="B124" t="s">
        <v>936</v>
      </c>
      <c r="C124" t="s">
        <v>937</v>
      </c>
      <c r="D124" t="s">
        <v>22</v>
      </c>
      <c r="E124" t="s">
        <v>938</v>
      </c>
      <c r="F124" t="s">
        <v>939</v>
      </c>
      <c r="G124" t="s">
        <v>940</v>
      </c>
      <c r="H124" t="s">
        <v>781</v>
      </c>
      <c r="I124" t="s">
        <v>800</v>
      </c>
      <c r="J124" s="2">
        <v>42000</v>
      </c>
      <c r="K124" s="3">
        <v>46034</v>
      </c>
      <c r="L124" t="s">
        <v>218</v>
      </c>
      <c r="M124" t="s">
        <v>941</v>
      </c>
      <c r="N124" t="s">
        <v>52</v>
      </c>
      <c r="O124" s="2">
        <f t="shared" si="2"/>
        <v>42000</v>
      </c>
      <c r="P124" s="2">
        <f t="shared" si="3"/>
        <v>504000</v>
      </c>
      <c r="Q124" s="13" t="s">
        <v>90</v>
      </c>
      <c r="R124" s="9" t="s">
        <v>54</v>
      </c>
      <c r="S124" s="3">
        <v>35165</v>
      </c>
    </row>
    <row r="125" spans="1:19" ht="27.6">
      <c r="A125" t="s">
        <v>942</v>
      </c>
      <c r="B125" t="s">
        <v>943</v>
      </c>
      <c r="C125" t="s">
        <v>944</v>
      </c>
      <c r="D125" t="s">
        <v>22</v>
      </c>
      <c r="E125" t="s">
        <v>945</v>
      </c>
      <c r="F125" t="s">
        <v>946</v>
      </c>
      <c r="G125" t="s">
        <v>947</v>
      </c>
      <c r="H125" t="s">
        <v>781</v>
      </c>
      <c r="I125" t="s">
        <v>808</v>
      </c>
      <c r="J125" s="2">
        <v>79000</v>
      </c>
      <c r="K125" s="3">
        <v>46043</v>
      </c>
      <c r="L125" t="s">
        <v>28</v>
      </c>
      <c r="M125" t="s">
        <v>948</v>
      </c>
      <c r="N125" t="s">
        <v>106</v>
      </c>
      <c r="O125" s="2">
        <f t="shared" si="2"/>
        <v>79000</v>
      </c>
      <c r="P125" s="2">
        <f t="shared" si="3"/>
        <v>948000</v>
      </c>
      <c r="Q125" s="13" t="s">
        <v>608</v>
      </c>
      <c r="R125" s="9" t="s">
        <v>609</v>
      </c>
      <c r="S125" s="3">
        <v>37885</v>
      </c>
    </row>
    <row r="126" spans="1:19" ht="27.6">
      <c r="A126" t="s">
        <v>949</v>
      </c>
      <c r="B126" t="s">
        <v>101</v>
      </c>
      <c r="C126" t="s">
        <v>950</v>
      </c>
      <c r="D126" t="s">
        <v>22</v>
      </c>
      <c r="E126" t="s">
        <v>951</v>
      </c>
      <c r="F126" t="s">
        <v>952</v>
      </c>
      <c r="G126" t="s">
        <v>953</v>
      </c>
      <c r="H126" t="s">
        <v>781</v>
      </c>
      <c r="I126" t="s">
        <v>816</v>
      </c>
      <c r="J126" s="2">
        <v>49000</v>
      </c>
      <c r="K126" s="3">
        <v>46052</v>
      </c>
      <c r="L126" t="s">
        <v>218</v>
      </c>
      <c r="M126" t="s">
        <v>954</v>
      </c>
      <c r="N126" t="s">
        <v>52</v>
      </c>
      <c r="O126" s="2">
        <f t="shared" si="2"/>
        <v>49000</v>
      </c>
      <c r="P126" s="2">
        <f t="shared" si="3"/>
        <v>588000</v>
      </c>
      <c r="Q126" s="13" t="s">
        <v>618</v>
      </c>
      <c r="R126" s="9" t="s">
        <v>43</v>
      </c>
      <c r="S126" s="3">
        <v>29621</v>
      </c>
    </row>
    <row r="127" spans="1:19">
      <c r="A127" t="s">
        <v>955</v>
      </c>
      <c r="B127" t="s">
        <v>956</v>
      </c>
      <c r="C127" t="s">
        <v>957</v>
      </c>
      <c r="D127" t="s">
        <v>22</v>
      </c>
      <c r="E127" t="s">
        <v>958</v>
      </c>
      <c r="F127" t="s">
        <v>959</v>
      </c>
      <c r="G127" t="s">
        <v>960</v>
      </c>
      <c r="H127" t="s">
        <v>961</v>
      </c>
      <c r="I127" t="s">
        <v>962</v>
      </c>
      <c r="J127" s="2">
        <v>50000</v>
      </c>
      <c r="K127" s="3">
        <v>46061</v>
      </c>
      <c r="L127" t="s">
        <v>28</v>
      </c>
      <c r="M127" t="s">
        <v>963</v>
      </c>
      <c r="N127" t="s">
        <v>106</v>
      </c>
      <c r="O127" s="2">
        <f t="shared" si="2"/>
        <v>50000</v>
      </c>
      <c r="P127" s="2">
        <f t="shared" si="3"/>
        <v>600000</v>
      </c>
      <c r="Q127" s="13" t="s">
        <v>152</v>
      </c>
      <c r="R127" s="9" t="s">
        <v>54</v>
      </c>
      <c r="S127" s="3">
        <v>32339</v>
      </c>
    </row>
    <row r="128" spans="1:19" ht="27.6">
      <c r="A128" t="s">
        <v>964</v>
      </c>
      <c r="B128" t="s">
        <v>965</v>
      </c>
      <c r="C128" t="s">
        <v>966</v>
      </c>
      <c r="D128" t="s">
        <v>22</v>
      </c>
      <c r="E128" t="s">
        <v>967</v>
      </c>
      <c r="F128" t="s">
        <v>968</v>
      </c>
      <c r="G128" t="s">
        <v>969</v>
      </c>
      <c r="H128" t="s">
        <v>961</v>
      </c>
      <c r="I128" t="s">
        <v>970</v>
      </c>
      <c r="J128" s="2">
        <v>36000</v>
      </c>
      <c r="K128" s="3">
        <v>46070</v>
      </c>
      <c r="L128" t="s">
        <v>28</v>
      </c>
      <c r="M128" t="s">
        <v>971</v>
      </c>
      <c r="N128" t="s">
        <v>98</v>
      </c>
      <c r="O128" s="2">
        <f t="shared" si="2"/>
        <v>36000</v>
      </c>
      <c r="P128" s="2">
        <f t="shared" si="3"/>
        <v>432000</v>
      </c>
      <c r="Q128" s="13" t="s">
        <v>972</v>
      </c>
      <c r="R128" s="9" t="s">
        <v>793</v>
      </c>
      <c r="S128" s="3">
        <v>35059</v>
      </c>
    </row>
    <row r="129" spans="1:19">
      <c r="A129" t="s">
        <v>973</v>
      </c>
      <c r="B129" t="s">
        <v>974</v>
      </c>
      <c r="C129" t="s">
        <v>975</v>
      </c>
      <c r="D129" t="s">
        <v>22</v>
      </c>
      <c r="E129" t="s">
        <v>976</v>
      </c>
      <c r="F129" t="s">
        <v>977</v>
      </c>
      <c r="G129" t="s">
        <v>978</v>
      </c>
      <c r="H129" t="s">
        <v>961</v>
      </c>
      <c r="I129" t="s">
        <v>979</v>
      </c>
      <c r="J129" s="2">
        <v>47000</v>
      </c>
      <c r="K129" s="3">
        <v>46079</v>
      </c>
      <c r="L129" t="s">
        <v>28</v>
      </c>
      <c r="M129" t="s">
        <v>980</v>
      </c>
      <c r="N129" t="s">
        <v>98</v>
      </c>
      <c r="O129" s="2">
        <f t="shared" si="2"/>
        <v>47000</v>
      </c>
      <c r="P129" s="2">
        <f t="shared" si="3"/>
        <v>564000</v>
      </c>
      <c r="Q129" s="13" t="s">
        <v>981</v>
      </c>
      <c r="R129" s="9" t="s">
        <v>982</v>
      </c>
      <c r="S129" s="3">
        <v>37385</v>
      </c>
    </row>
    <row r="130" spans="1:19">
      <c r="A130" t="s">
        <v>983</v>
      </c>
      <c r="B130" t="s">
        <v>984</v>
      </c>
      <c r="C130" t="s">
        <v>985</v>
      </c>
      <c r="D130" t="s">
        <v>22</v>
      </c>
      <c r="E130" t="s">
        <v>986</v>
      </c>
      <c r="F130" t="s">
        <v>987</v>
      </c>
      <c r="G130" t="s">
        <v>988</v>
      </c>
      <c r="H130" t="s">
        <v>961</v>
      </c>
      <c r="I130" t="s">
        <v>989</v>
      </c>
      <c r="J130" s="2">
        <v>62000</v>
      </c>
      <c r="K130" s="3">
        <v>44928</v>
      </c>
      <c r="L130" t="s">
        <v>28</v>
      </c>
      <c r="M130" t="s">
        <v>990</v>
      </c>
      <c r="N130" t="s">
        <v>204</v>
      </c>
      <c r="O130" s="2">
        <f t="shared" ref="O130:O193" si="4">J130</f>
        <v>62000</v>
      </c>
      <c r="P130" s="2">
        <f t="shared" ref="P130:P193" si="5">J130*12</f>
        <v>744000</v>
      </c>
      <c r="Q130" s="13" t="s">
        <v>90</v>
      </c>
      <c r="R130" s="9" t="s">
        <v>991</v>
      </c>
      <c r="S130" s="3">
        <v>29514</v>
      </c>
    </row>
    <row r="131" spans="1:19" ht="27.6">
      <c r="A131" t="s">
        <v>992</v>
      </c>
      <c r="B131" t="s">
        <v>993</v>
      </c>
      <c r="C131" t="s">
        <v>994</v>
      </c>
      <c r="D131" t="s">
        <v>22</v>
      </c>
      <c r="E131" t="s">
        <v>995</v>
      </c>
      <c r="F131" t="s">
        <v>996</v>
      </c>
      <c r="G131" t="s">
        <v>997</v>
      </c>
      <c r="H131" t="s">
        <v>961</v>
      </c>
      <c r="I131" t="s">
        <v>998</v>
      </c>
      <c r="J131" s="2">
        <v>46000</v>
      </c>
      <c r="K131" s="3">
        <v>44937</v>
      </c>
      <c r="L131" t="s">
        <v>28</v>
      </c>
      <c r="M131" t="s">
        <v>999</v>
      </c>
      <c r="N131" t="s">
        <v>30</v>
      </c>
      <c r="O131" s="2">
        <f t="shared" si="4"/>
        <v>46000</v>
      </c>
      <c r="P131" s="2">
        <f t="shared" si="5"/>
        <v>552000</v>
      </c>
      <c r="Q131" s="13" t="s">
        <v>182</v>
      </c>
      <c r="R131" s="9" t="s">
        <v>54</v>
      </c>
      <c r="S131" s="3">
        <v>31839</v>
      </c>
    </row>
    <row r="132" spans="1:19" ht="27.6">
      <c r="A132" t="s">
        <v>1000</v>
      </c>
      <c r="B132" t="s">
        <v>1001</v>
      </c>
      <c r="C132" t="s">
        <v>1002</v>
      </c>
      <c r="D132" t="s">
        <v>22</v>
      </c>
      <c r="E132" t="s">
        <v>1003</v>
      </c>
      <c r="F132" t="s">
        <v>1004</v>
      </c>
      <c r="G132" t="s">
        <v>1005</v>
      </c>
      <c r="H132" t="s">
        <v>961</v>
      </c>
      <c r="I132" t="s">
        <v>962</v>
      </c>
      <c r="J132" s="2">
        <v>49000</v>
      </c>
      <c r="K132" s="3">
        <v>44946</v>
      </c>
      <c r="L132" t="s">
        <v>28</v>
      </c>
      <c r="M132" t="s">
        <v>1006</v>
      </c>
      <c r="N132" t="s">
        <v>73</v>
      </c>
      <c r="O132" s="2">
        <f t="shared" si="4"/>
        <v>49000</v>
      </c>
      <c r="P132" s="2">
        <f t="shared" si="5"/>
        <v>588000</v>
      </c>
      <c r="Q132" s="13" t="s">
        <v>972</v>
      </c>
      <c r="R132" s="9" t="s">
        <v>793</v>
      </c>
      <c r="S132" s="3">
        <v>34560</v>
      </c>
    </row>
    <row r="133" spans="1:19">
      <c r="A133" t="s">
        <v>1007</v>
      </c>
      <c r="B133" t="s">
        <v>1008</v>
      </c>
      <c r="C133" t="s">
        <v>1009</v>
      </c>
      <c r="D133" t="s">
        <v>22</v>
      </c>
      <c r="E133" t="s">
        <v>1010</v>
      </c>
      <c r="F133" t="s">
        <v>1011</v>
      </c>
      <c r="G133" t="s">
        <v>1012</v>
      </c>
      <c r="H133" t="s">
        <v>961</v>
      </c>
      <c r="I133" t="s">
        <v>970</v>
      </c>
      <c r="J133" s="2">
        <v>70000</v>
      </c>
      <c r="K133" s="3">
        <v>44955</v>
      </c>
      <c r="L133" t="s">
        <v>28</v>
      </c>
      <c r="M133" t="s">
        <v>1013</v>
      </c>
      <c r="N133" t="s">
        <v>204</v>
      </c>
      <c r="O133" s="2">
        <f t="shared" si="4"/>
        <v>70000</v>
      </c>
      <c r="P133" s="2">
        <f t="shared" si="5"/>
        <v>840000</v>
      </c>
      <c r="Q133" s="13" t="s">
        <v>981</v>
      </c>
      <c r="R133" s="9" t="s">
        <v>982</v>
      </c>
      <c r="S133" s="3">
        <v>36916</v>
      </c>
    </row>
    <row r="134" spans="1:19">
      <c r="A134" t="s">
        <v>1014</v>
      </c>
      <c r="B134" t="s">
        <v>1015</v>
      </c>
      <c r="C134" t="s">
        <v>1016</v>
      </c>
      <c r="D134" t="s">
        <v>22</v>
      </c>
      <c r="E134" t="s">
        <v>1017</v>
      </c>
      <c r="F134" t="s">
        <v>1018</v>
      </c>
      <c r="G134" t="s">
        <v>1019</v>
      </c>
      <c r="H134" t="s">
        <v>961</v>
      </c>
      <c r="I134" t="s">
        <v>979</v>
      </c>
      <c r="J134" s="2">
        <v>63000</v>
      </c>
      <c r="K134" s="3">
        <v>44964</v>
      </c>
      <c r="L134" t="s">
        <v>28</v>
      </c>
      <c r="M134" t="s">
        <v>1020</v>
      </c>
      <c r="N134" t="s">
        <v>73</v>
      </c>
      <c r="O134" s="2">
        <f t="shared" si="4"/>
        <v>63000</v>
      </c>
      <c r="P134" s="2">
        <f t="shared" si="5"/>
        <v>756000</v>
      </c>
      <c r="Q134" s="13" t="s">
        <v>122</v>
      </c>
      <c r="R134" s="9" t="s">
        <v>991</v>
      </c>
      <c r="S134" s="3">
        <v>29014</v>
      </c>
    </row>
    <row r="135" spans="1:19">
      <c r="A135" t="s">
        <v>1021</v>
      </c>
      <c r="B135" t="s">
        <v>1022</v>
      </c>
      <c r="C135" t="s">
        <v>1023</v>
      </c>
      <c r="D135" t="s">
        <v>22</v>
      </c>
      <c r="E135" t="s">
        <v>1024</v>
      </c>
      <c r="F135" t="s">
        <v>1025</v>
      </c>
      <c r="G135" t="s">
        <v>1026</v>
      </c>
      <c r="H135" t="s">
        <v>961</v>
      </c>
      <c r="I135" t="s">
        <v>989</v>
      </c>
      <c r="J135" s="2">
        <v>81000</v>
      </c>
      <c r="K135" s="3">
        <v>44973</v>
      </c>
      <c r="L135" t="s">
        <v>28</v>
      </c>
      <c r="M135" t="s">
        <v>1027</v>
      </c>
      <c r="N135" t="s">
        <v>106</v>
      </c>
      <c r="O135" s="2">
        <f t="shared" si="4"/>
        <v>81000</v>
      </c>
      <c r="P135" s="2">
        <f t="shared" si="5"/>
        <v>972000</v>
      </c>
      <c r="Q135" s="13" t="s">
        <v>53</v>
      </c>
      <c r="R135" s="9" t="s">
        <v>54</v>
      </c>
      <c r="S135" s="3">
        <v>31735</v>
      </c>
    </row>
    <row r="136" spans="1:19" ht="27.6">
      <c r="A136" t="s">
        <v>1028</v>
      </c>
      <c r="B136" t="s">
        <v>1029</v>
      </c>
      <c r="C136" t="s">
        <v>1030</v>
      </c>
      <c r="D136" t="s">
        <v>22</v>
      </c>
      <c r="E136" t="s">
        <v>1031</v>
      </c>
      <c r="F136" t="s">
        <v>1032</v>
      </c>
      <c r="G136" t="s">
        <v>1033</v>
      </c>
      <c r="H136" t="s">
        <v>961</v>
      </c>
      <c r="I136" t="s">
        <v>998</v>
      </c>
      <c r="J136" s="2">
        <v>74000</v>
      </c>
      <c r="K136" s="3">
        <v>44982</v>
      </c>
      <c r="L136" t="s">
        <v>28</v>
      </c>
      <c r="M136" t="s">
        <v>1034</v>
      </c>
      <c r="N136" t="s">
        <v>41</v>
      </c>
      <c r="O136" s="2">
        <f t="shared" si="4"/>
        <v>74000</v>
      </c>
      <c r="P136" s="2">
        <f t="shared" si="5"/>
        <v>888000</v>
      </c>
      <c r="Q136" s="13" t="s">
        <v>972</v>
      </c>
      <c r="R136" s="9" t="s">
        <v>793</v>
      </c>
      <c r="S136" s="3">
        <v>34061</v>
      </c>
    </row>
    <row r="137" spans="1:19">
      <c r="A137" t="s">
        <v>1035</v>
      </c>
      <c r="B137" t="s">
        <v>1036</v>
      </c>
      <c r="C137" t="s">
        <v>1037</v>
      </c>
      <c r="D137" t="s">
        <v>22</v>
      </c>
      <c r="E137" t="s">
        <v>1038</v>
      </c>
      <c r="F137" t="s">
        <v>1039</v>
      </c>
      <c r="G137" t="s">
        <v>1040</v>
      </c>
      <c r="H137" t="s">
        <v>961</v>
      </c>
      <c r="I137" t="s">
        <v>962</v>
      </c>
      <c r="J137" s="2">
        <v>40000</v>
      </c>
      <c r="K137" s="3">
        <v>44991</v>
      </c>
      <c r="L137" t="s">
        <v>28</v>
      </c>
      <c r="M137" t="s">
        <v>1041</v>
      </c>
      <c r="N137" t="s">
        <v>30</v>
      </c>
      <c r="O137" s="2">
        <f t="shared" si="4"/>
        <v>40000</v>
      </c>
      <c r="P137" s="2">
        <f t="shared" si="5"/>
        <v>480000</v>
      </c>
      <c r="Q137" s="13" t="s">
        <v>981</v>
      </c>
      <c r="R137" s="9" t="s">
        <v>982</v>
      </c>
      <c r="S137" s="3">
        <v>36782</v>
      </c>
    </row>
    <row r="138" spans="1:19">
      <c r="A138" t="s">
        <v>1042</v>
      </c>
      <c r="B138" t="s">
        <v>1043</v>
      </c>
      <c r="C138" t="s">
        <v>832</v>
      </c>
      <c r="D138" t="s">
        <v>22</v>
      </c>
      <c r="E138" t="s">
        <v>1044</v>
      </c>
      <c r="F138" t="s">
        <v>1045</v>
      </c>
      <c r="G138" t="s">
        <v>1046</v>
      </c>
      <c r="H138" t="s">
        <v>961</v>
      </c>
      <c r="I138" t="s">
        <v>970</v>
      </c>
      <c r="J138" s="2">
        <v>40000</v>
      </c>
      <c r="K138" s="3">
        <v>45000</v>
      </c>
      <c r="L138" t="s">
        <v>28</v>
      </c>
      <c r="M138" t="s">
        <v>1047</v>
      </c>
      <c r="N138" t="s">
        <v>41</v>
      </c>
      <c r="O138" s="2">
        <f t="shared" si="4"/>
        <v>40000</v>
      </c>
      <c r="P138" s="2">
        <f t="shared" si="5"/>
        <v>480000</v>
      </c>
      <c r="Q138" s="13" t="s">
        <v>152</v>
      </c>
      <c r="R138" s="9" t="s">
        <v>991</v>
      </c>
      <c r="S138" s="3">
        <v>28545</v>
      </c>
    </row>
    <row r="139" spans="1:19">
      <c r="A139" t="s">
        <v>1048</v>
      </c>
      <c r="B139" t="s">
        <v>1049</v>
      </c>
      <c r="C139" t="s">
        <v>1050</v>
      </c>
      <c r="D139" t="s">
        <v>22</v>
      </c>
      <c r="E139" t="s">
        <v>1051</v>
      </c>
      <c r="F139" t="s">
        <v>1052</v>
      </c>
      <c r="G139" t="s">
        <v>1053</v>
      </c>
      <c r="H139" t="s">
        <v>961</v>
      </c>
      <c r="I139" t="s">
        <v>979</v>
      </c>
      <c r="J139" s="2">
        <v>73000</v>
      </c>
      <c r="K139" s="3">
        <v>45009</v>
      </c>
      <c r="L139" t="s">
        <v>28</v>
      </c>
      <c r="M139" t="s">
        <v>1054</v>
      </c>
      <c r="N139" t="s">
        <v>52</v>
      </c>
      <c r="O139" s="2">
        <f t="shared" si="4"/>
        <v>73000</v>
      </c>
      <c r="P139" s="2">
        <f t="shared" si="5"/>
        <v>876000</v>
      </c>
      <c r="Q139" s="13" t="s">
        <v>90</v>
      </c>
      <c r="R139" s="9" t="s">
        <v>54</v>
      </c>
      <c r="S139" s="3">
        <v>31235</v>
      </c>
    </row>
    <row r="140" spans="1:19" ht="27.6">
      <c r="A140" t="s">
        <v>1055</v>
      </c>
      <c r="B140" t="s">
        <v>1056</v>
      </c>
      <c r="C140" t="s">
        <v>1057</v>
      </c>
      <c r="D140" t="s">
        <v>22</v>
      </c>
      <c r="E140" t="s">
        <v>1058</v>
      </c>
      <c r="F140" t="s">
        <v>1059</v>
      </c>
      <c r="G140" t="s">
        <v>1060</v>
      </c>
      <c r="H140" t="s">
        <v>961</v>
      </c>
      <c r="I140" t="s">
        <v>989</v>
      </c>
      <c r="J140" s="2">
        <v>54000</v>
      </c>
      <c r="K140" s="3">
        <v>45018</v>
      </c>
      <c r="L140" t="s">
        <v>28</v>
      </c>
      <c r="M140" t="s">
        <v>1061</v>
      </c>
      <c r="N140" t="s">
        <v>106</v>
      </c>
      <c r="O140" s="2">
        <f t="shared" si="4"/>
        <v>54000</v>
      </c>
      <c r="P140" s="2">
        <f t="shared" si="5"/>
        <v>648000</v>
      </c>
      <c r="Q140" s="13" t="s">
        <v>972</v>
      </c>
      <c r="R140" s="9" t="s">
        <v>793</v>
      </c>
      <c r="S140" s="3">
        <v>33956</v>
      </c>
    </row>
    <row r="141" spans="1:19">
      <c r="A141" t="s">
        <v>1062</v>
      </c>
      <c r="B141" t="s">
        <v>1063</v>
      </c>
      <c r="C141" t="s">
        <v>1064</v>
      </c>
      <c r="D141" t="s">
        <v>22</v>
      </c>
      <c r="E141" t="s">
        <v>1065</v>
      </c>
      <c r="F141" t="s">
        <v>1066</v>
      </c>
      <c r="G141" t="s">
        <v>1067</v>
      </c>
      <c r="H141" t="s">
        <v>961</v>
      </c>
      <c r="I141" t="s">
        <v>998</v>
      </c>
      <c r="J141" s="2">
        <v>48000</v>
      </c>
      <c r="K141" s="3">
        <v>45027</v>
      </c>
      <c r="L141" t="s">
        <v>28</v>
      </c>
      <c r="M141" t="s">
        <v>1068</v>
      </c>
      <c r="N141" t="s">
        <v>73</v>
      </c>
      <c r="O141" s="2">
        <f t="shared" si="4"/>
        <v>48000</v>
      </c>
      <c r="P141" s="2">
        <f t="shared" si="5"/>
        <v>576000</v>
      </c>
      <c r="Q141" s="13" t="s">
        <v>981</v>
      </c>
      <c r="R141" s="9" t="s">
        <v>982</v>
      </c>
      <c r="S141" s="3">
        <v>36281</v>
      </c>
    </row>
    <row r="142" spans="1:19" ht="27.6">
      <c r="A142" t="s">
        <v>1069</v>
      </c>
      <c r="B142" t="s">
        <v>1070</v>
      </c>
      <c r="C142" t="s">
        <v>1071</v>
      </c>
      <c r="D142" t="s">
        <v>22</v>
      </c>
      <c r="E142" t="s">
        <v>1072</v>
      </c>
      <c r="F142" t="s">
        <v>1073</v>
      </c>
      <c r="G142" t="s">
        <v>1074</v>
      </c>
      <c r="H142" t="s">
        <v>961</v>
      </c>
      <c r="I142" t="s">
        <v>962</v>
      </c>
      <c r="J142" s="2">
        <v>50000</v>
      </c>
      <c r="K142" s="3">
        <v>45036</v>
      </c>
      <c r="L142" t="s">
        <v>28</v>
      </c>
      <c r="M142" t="s">
        <v>1075</v>
      </c>
      <c r="N142" t="s">
        <v>106</v>
      </c>
      <c r="O142" s="2">
        <f t="shared" si="4"/>
        <v>50000</v>
      </c>
      <c r="P142" s="2">
        <f t="shared" si="5"/>
        <v>600000</v>
      </c>
      <c r="Q142" s="13" t="s">
        <v>182</v>
      </c>
      <c r="R142" s="9" t="s">
        <v>991</v>
      </c>
      <c r="S142" s="3">
        <v>28410</v>
      </c>
    </row>
    <row r="143" spans="1:19">
      <c r="A143" t="s">
        <v>1076</v>
      </c>
      <c r="B143" t="s">
        <v>1077</v>
      </c>
      <c r="C143" t="s">
        <v>1078</v>
      </c>
      <c r="D143" t="s">
        <v>22</v>
      </c>
      <c r="E143" t="s">
        <v>1079</v>
      </c>
      <c r="F143" t="s">
        <v>1080</v>
      </c>
      <c r="G143" t="s">
        <v>1081</v>
      </c>
      <c r="H143" t="s">
        <v>961</v>
      </c>
      <c r="I143" t="s">
        <v>970</v>
      </c>
      <c r="J143" s="2">
        <v>46000</v>
      </c>
      <c r="K143" s="3">
        <v>45045</v>
      </c>
      <c r="L143" t="s">
        <v>28</v>
      </c>
      <c r="M143" t="s">
        <v>1082</v>
      </c>
      <c r="N143" t="s">
        <v>73</v>
      </c>
      <c r="O143" s="2">
        <f t="shared" si="4"/>
        <v>46000</v>
      </c>
      <c r="P143" s="2">
        <f t="shared" si="5"/>
        <v>552000</v>
      </c>
      <c r="Q143" s="13" t="s">
        <v>122</v>
      </c>
      <c r="R143" s="9" t="s">
        <v>54</v>
      </c>
      <c r="S143" s="3">
        <v>30764</v>
      </c>
    </row>
    <row r="144" spans="1:19" ht="27.6">
      <c r="A144" t="s">
        <v>1083</v>
      </c>
      <c r="B144" t="s">
        <v>1084</v>
      </c>
      <c r="C144" t="s">
        <v>1085</v>
      </c>
      <c r="D144" t="s">
        <v>22</v>
      </c>
      <c r="E144" t="s">
        <v>1086</v>
      </c>
      <c r="F144" t="s">
        <v>1087</v>
      </c>
      <c r="G144" t="s">
        <v>1088</v>
      </c>
      <c r="H144" t="s">
        <v>961</v>
      </c>
      <c r="I144" t="s">
        <v>979</v>
      </c>
      <c r="J144" s="2">
        <v>46000</v>
      </c>
      <c r="K144" s="3">
        <v>45054</v>
      </c>
      <c r="L144" t="s">
        <v>28</v>
      </c>
      <c r="M144" t="s">
        <v>1089</v>
      </c>
      <c r="N144" t="s">
        <v>106</v>
      </c>
      <c r="O144" s="2">
        <f t="shared" si="4"/>
        <v>46000</v>
      </c>
      <c r="P144" s="2">
        <f t="shared" si="5"/>
        <v>552000</v>
      </c>
      <c r="Q144" s="13" t="s">
        <v>972</v>
      </c>
      <c r="R144" s="9" t="s">
        <v>793</v>
      </c>
      <c r="S144" s="3">
        <v>33456</v>
      </c>
    </row>
    <row r="145" spans="1:19">
      <c r="A145" t="s">
        <v>1090</v>
      </c>
      <c r="B145" t="s">
        <v>247</v>
      </c>
      <c r="C145" t="s">
        <v>1091</v>
      </c>
      <c r="D145" t="s">
        <v>22</v>
      </c>
      <c r="E145" t="s">
        <v>1092</v>
      </c>
      <c r="F145" t="s">
        <v>1093</v>
      </c>
      <c r="G145" t="s">
        <v>1094</v>
      </c>
      <c r="H145" t="s">
        <v>961</v>
      </c>
      <c r="I145" t="s">
        <v>989</v>
      </c>
      <c r="J145" s="2">
        <v>85000</v>
      </c>
      <c r="K145" s="3">
        <v>45063</v>
      </c>
      <c r="L145" t="s">
        <v>28</v>
      </c>
      <c r="M145" t="s">
        <v>1095</v>
      </c>
      <c r="N145" t="s">
        <v>52</v>
      </c>
      <c r="O145" s="2">
        <f t="shared" si="4"/>
        <v>85000</v>
      </c>
      <c r="P145" s="2">
        <f t="shared" si="5"/>
        <v>1020000</v>
      </c>
      <c r="Q145" s="13" t="s">
        <v>981</v>
      </c>
      <c r="R145" s="9" t="s">
        <v>982</v>
      </c>
      <c r="S145" s="3">
        <v>35812</v>
      </c>
    </row>
    <row r="146" spans="1:19">
      <c r="A146" t="s">
        <v>1096</v>
      </c>
      <c r="B146" t="s">
        <v>1097</v>
      </c>
      <c r="C146" t="s">
        <v>1098</v>
      </c>
      <c r="D146" t="s">
        <v>22</v>
      </c>
      <c r="E146" t="s">
        <v>1099</v>
      </c>
      <c r="F146" t="s">
        <v>1100</v>
      </c>
      <c r="G146" t="s">
        <v>1101</v>
      </c>
      <c r="H146" t="s">
        <v>961</v>
      </c>
      <c r="I146" t="s">
        <v>998</v>
      </c>
      <c r="J146" s="2">
        <v>67000</v>
      </c>
      <c r="K146" s="3">
        <v>45072</v>
      </c>
      <c r="L146" t="s">
        <v>28</v>
      </c>
      <c r="M146" t="s">
        <v>1102</v>
      </c>
      <c r="N146" t="s">
        <v>98</v>
      </c>
      <c r="O146" s="2">
        <f t="shared" si="4"/>
        <v>67000</v>
      </c>
      <c r="P146" s="2">
        <f t="shared" si="5"/>
        <v>804000</v>
      </c>
      <c r="Q146" s="13" t="s">
        <v>53</v>
      </c>
      <c r="R146" s="9" t="s">
        <v>991</v>
      </c>
      <c r="S146" s="3">
        <v>27939</v>
      </c>
    </row>
    <row r="147" spans="1:19">
      <c r="A147" t="s">
        <v>1103</v>
      </c>
      <c r="B147" t="s">
        <v>1104</v>
      </c>
      <c r="C147" t="s">
        <v>1105</v>
      </c>
      <c r="D147" t="s">
        <v>22</v>
      </c>
      <c r="E147" t="s">
        <v>1106</v>
      </c>
      <c r="F147" t="s">
        <v>1107</v>
      </c>
      <c r="G147" t="s">
        <v>1108</v>
      </c>
      <c r="H147" t="s">
        <v>961</v>
      </c>
      <c r="I147" t="s">
        <v>962</v>
      </c>
      <c r="J147" s="2">
        <v>66000</v>
      </c>
      <c r="K147" s="3">
        <v>45081</v>
      </c>
      <c r="L147" t="s">
        <v>28</v>
      </c>
      <c r="M147" t="s">
        <v>1109</v>
      </c>
      <c r="N147" t="s">
        <v>204</v>
      </c>
      <c r="O147" s="2">
        <f t="shared" si="4"/>
        <v>66000</v>
      </c>
      <c r="P147" s="2">
        <f t="shared" si="5"/>
        <v>792000</v>
      </c>
      <c r="Q147" s="13" t="s">
        <v>152</v>
      </c>
      <c r="R147" s="9" t="s">
        <v>54</v>
      </c>
      <c r="S147" s="3">
        <v>30631</v>
      </c>
    </row>
    <row r="148" spans="1:19" ht="27.6">
      <c r="A148" t="s">
        <v>1110</v>
      </c>
      <c r="B148" t="s">
        <v>1111</v>
      </c>
      <c r="C148" t="s">
        <v>1112</v>
      </c>
      <c r="D148" t="s">
        <v>22</v>
      </c>
      <c r="E148" t="s">
        <v>1113</v>
      </c>
      <c r="F148" t="s">
        <v>1114</v>
      </c>
      <c r="G148" t="s">
        <v>1115</v>
      </c>
      <c r="H148" t="s">
        <v>961</v>
      </c>
      <c r="I148" t="s">
        <v>970</v>
      </c>
      <c r="J148" s="2">
        <v>46000</v>
      </c>
      <c r="K148" s="3">
        <v>45090</v>
      </c>
      <c r="L148" t="s">
        <v>28</v>
      </c>
      <c r="M148" t="s">
        <v>1116</v>
      </c>
      <c r="N148" t="s">
        <v>106</v>
      </c>
      <c r="O148" s="2">
        <f t="shared" si="4"/>
        <v>46000</v>
      </c>
      <c r="P148" s="2">
        <f t="shared" si="5"/>
        <v>552000</v>
      </c>
      <c r="Q148" s="13" t="s">
        <v>972</v>
      </c>
      <c r="R148" s="9" t="s">
        <v>793</v>
      </c>
      <c r="S148" s="3">
        <v>32985</v>
      </c>
    </row>
    <row r="149" spans="1:19">
      <c r="A149" t="s">
        <v>1117</v>
      </c>
      <c r="B149" t="s">
        <v>1118</v>
      </c>
      <c r="C149" t="s">
        <v>1119</v>
      </c>
      <c r="D149" t="s">
        <v>22</v>
      </c>
      <c r="E149" t="s">
        <v>1120</v>
      </c>
      <c r="F149" t="s">
        <v>1121</v>
      </c>
      <c r="G149" t="s">
        <v>1122</v>
      </c>
      <c r="H149" t="s">
        <v>961</v>
      </c>
      <c r="I149" t="s">
        <v>979</v>
      </c>
      <c r="J149" s="2">
        <v>49000</v>
      </c>
      <c r="K149" s="3">
        <v>45099</v>
      </c>
      <c r="L149" t="s">
        <v>28</v>
      </c>
      <c r="M149" t="s">
        <v>1123</v>
      </c>
      <c r="N149" t="s">
        <v>52</v>
      </c>
      <c r="O149" s="2">
        <f t="shared" si="4"/>
        <v>49000</v>
      </c>
      <c r="P149" s="2">
        <f t="shared" si="5"/>
        <v>588000</v>
      </c>
      <c r="Q149" s="13" t="s">
        <v>981</v>
      </c>
      <c r="R149" s="9" t="s">
        <v>982</v>
      </c>
      <c r="S149" s="3">
        <v>35678</v>
      </c>
    </row>
    <row r="150" spans="1:19">
      <c r="A150" t="s">
        <v>1124</v>
      </c>
      <c r="B150" t="s">
        <v>1125</v>
      </c>
      <c r="C150" t="s">
        <v>915</v>
      </c>
      <c r="D150" t="s">
        <v>22</v>
      </c>
      <c r="E150" t="s">
        <v>1126</v>
      </c>
      <c r="F150" t="s">
        <v>1127</v>
      </c>
      <c r="G150" t="s">
        <v>1128</v>
      </c>
      <c r="H150" t="s">
        <v>961</v>
      </c>
      <c r="I150" t="s">
        <v>989</v>
      </c>
      <c r="J150" s="2">
        <v>37000</v>
      </c>
      <c r="K150" s="3">
        <v>45108</v>
      </c>
      <c r="L150" t="s">
        <v>218</v>
      </c>
      <c r="M150" t="s">
        <v>1129</v>
      </c>
      <c r="N150" t="s">
        <v>73</v>
      </c>
      <c r="O150" s="2">
        <f t="shared" si="4"/>
        <v>37000</v>
      </c>
      <c r="P150" s="2">
        <f t="shared" si="5"/>
        <v>444000</v>
      </c>
      <c r="Q150" s="13" t="s">
        <v>90</v>
      </c>
      <c r="R150" s="9" t="s">
        <v>991</v>
      </c>
      <c r="S150" s="3">
        <v>38033</v>
      </c>
    </row>
    <row r="151" spans="1:19" ht="27.6">
      <c r="A151" t="s">
        <v>1130</v>
      </c>
      <c r="B151" t="s">
        <v>1131</v>
      </c>
      <c r="C151" t="s">
        <v>1132</v>
      </c>
      <c r="D151" t="s">
        <v>22</v>
      </c>
      <c r="E151" t="s">
        <v>1133</v>
      </c>
      <c r="F151" t="s">
        <v>1134</v>
      </c>
      <c r="G151" t="s">
        <v>1135</v>
      </c>
      <c r="H151" t="s">
        <v>961</v>
      </c>
      <c r="I151" t="s">
        <v>998</v>
      </c>
      <c r="J151" s="2">
        <v>43000</v>
      </c>
      <c r="K151" s="3">
        <v>45117</v>
      </c>
      <c r="L151" t="s">
        <v>218</v>
      </c>
      <c r="M151" t="s">
        <v>1136</v>
      </c>
      <c r="N151" t="s">
        <v>52</v>
      </c>
      <c r="O151" s="2">
        <f t="shared" si="4"/>
        <v>43000</v>
      </c>
      <c r="P151" s="2">
        <f t="shared" si="5"/>
        <v>516000</v>
      </c>
      <c r="Q151" s="13" t="s">
        <v>182</v>
      </c>
      <c r="R151" s="9" t="s">
        <v>54</v>
      </c>
      <c r="S151" s="3">
        <v>30159</v>
      </c>
    </row>
    <row r="152" spans="1:19">
      <c r="A152" t="s">
        <v>1137</v>
      </c>
      <c r="B152" t="s">
        <v>1138</v>
      </c>
      <c r="C152" t="s">
        <v>1139</v>
      </c>
      <c r="D152" t="s">
        <v>22</v>
      </c>
      <c r="E152" t="s">
        <v>1140</v>
      </c>
      <c r="F152" t="s">
        <v>1141</v>
      </c>
      <c r="G152" t="s">
        <v>1142</v>
      </c>
      <c r="H152" t="s">
        <v>1143</v>
      </c>
      <c r="I152" t="s">
        <v>1144</v>
      </c>
      <c r="J152" s="2">
        <v>55000</v>
      </c>
      <c r="K152" s="3">
        <v>45126</v>
      </c>
      <c r="L152" t="s">
        <v>28</v>
      </c>
      <c r="M152" t="s">
        <v>1145</v>
      </c>
      <c r="N152" t="s">
        <v>41</v>
      </c>
      <c r="O152" s="2">
        <f t="shared" si="4"/>
        <v>55000</v>
      </c>
      <c r="P152" s="2">
        <f t="shared" si="5"/>
        <v>660000</v>
      </c>
      <c r="Q152" s="13" t="s">
        <v>152</v>
      </c>
      <c r="R152" s="9" t="s">
        <v>54</v>
      </c>
      <c r="S152" s="3">
        <v>32852</v>
      </c>
    </row>
    <row r="153" spans="1:19" ht="27.6">
      <c r="A153" t="s">
        <v>1146</v>
      </c>
      <c r="B153" t="s">
        <v>1147</v>
      </c>
      <c r="C153" t="s">
        <v>1148</v>
      </c>
      <c r="D153" t="s">
        <v>22</v>
      </c>
      <c r="E153" t="s">
        <v>1149</v>
      </c>
      <c r="F153" t="s">
        <v>1150</v>
      </c>
      <c r="G153" t="s">
        <v>1151</v>
      </c>
      <c r="H153" t="s">
        <v>1143</v>
      </c>
      <c r="I153" t="s">
        <v>1152</v>
      </c>
      <c r="J153" s="2">
        <v>71000</v>
      </c>
      <c r="K153" s="3">
        <v>45135</v>
      </c>
      <c r="L153" t="s">
        <v>28</v>
      </c>
      <c r="M153" t="s">
        <v>1153</v>
      </c>
      <c r="N153" t="s">
        <v>52</v>
      </c>
      <c r="O153" s="2">
        <f t="shared" si="4"/>
        <v>71000</v>
      </c>
      <c r="P153" s="2">
        <f t="shared" si="5"/>
        <v>852000</v>
      </c>
      <c r="Q153" s="13" t="s">
        <v>608</v>
      </c>
      <c r="R153" s="9" t="s">
        <v>1154</v>
      </c>
      <c r="S153" s="3">
        <v>35206</v>
      </c>
    </row>
    <row r="154" spans="1:19">
      <c r="A154" t="s">
        <v>1155</v>
      </c>
      <c r="B154" t="s">
        <v>1156</v>
      </c>
      <c r="C154" t="s">
        <v>1157</v>
      </c>
      <c r="D154" t="s">
        <v>22</v>
      </c>
      <c r="E154" t="s">
        <v>1158</v>
      </c>
      <c r="F154" t="s">
        <v>1159</v>
      </c>
      <c r="G154" t="s">
        <v>1160</v>
      </c>
      <c r="H154" t="s">
        <v>1143</v>
      </c>
      <c r="I154" t="s">
        <v>1161</v>
      </c>
      <c r="J154" s="2">
        <v>99000</v>
      </c>
      <c r="K154" s="3">
        <v>45144</v>
      </c>
      <c r="L154" t="s">
        <v>28</v>
      </c>
      <c r="M154" t="s">
        <v>1162</v>
      </c>
      <c r="N154" t="s">
        <v>204</v>
      </c>
      <c r="O154" s="2">
        <f t="shared" si="4"/>
        <v>99000</v>
      </c>
      <c r="P154" s="2">
        <f t="shared" si="5"/>
        <v>1188000</v>
      </c>
      <c r="Q154" s="13" t="s">
        <v>1163</v>
      </c>
      <c r="R154" s="9" t="s">
        <v>609</v>
      </c>
      <c r="S154" s="3">
        <v>37898</v>
      </c>
    </row>
    <row r="155" spans="1:19">
      <c r="A155" t="s">
        <v>1164</v>
      </c>
      <c r="B155" t="s">
        <v>1165</v>
      </c>
      <c r="C155" t="s">
        <v>1166</v>
      </c>
      <c r="D155" t="s">
        <v>22</v>
      </c>
      <c r="E155" t="s">
        <v>1167</v>
      </c>
      <c r="F155" t="s">
        <v>1168</v>
      </c>
      <c r="G155" t="s">
        <v>1169</v>
      </c>
      <c r="H155" t="s">
        <v>1143</v>
      </c>
      <c r="I155" t="s">
        <v>1170</v>
      </c>
      <c r="J155" s="2">
        <v>72000</v>
      </c>
      <c r="K155" s="3">
        <v>45153</v>
      </c>
      <c r="L155" t="s">
        <v>28</v>
      </c>
      <c r="M155" t="s">
        <v>1171</v>
      </c>
      <c r="N155" t="s">
        <v>73</v>
      </c>
      <c r="O155" s="2">
        <f t="shared" si="4"/>
        <v>72000</v>
      </c>
      <c r="P155" s="2">
        <f t="shared" si="5"/>
        <v>864000</v>
      </c>
      <c r="Q155" s="13" t="s">
        <v>792</v>
      </c>
      <c r="R155" s="9" t="s">
        <v>793</v>
      </c>
      <c r="S155" s="3">
        <v>29660</v>
      </c>
    </row>
    <row r="156" spans="1:19" ht="27.6">
      <c r="A156" t="s">
        <v>1172</v>
      </c>
      <c r="B156" t="s">
        <v>1173</v>
      </c>
      <c r="C156" t="s">
        <v>1174</v>
      </c>
      <c r="D156" t="s">
        <v>22</v>
      </c>
      <c r="E156" t="s">
        <v>1175</v>
      </c>
      <c r="F156" t="s">
        <v>1176</v>
      </c>
      <c r="G156" t="s">
        <v>1177</v>
      </c>
      <c r="H156" t="s">
        <v>1143</v>
      </c>
      <c r="I156" t="s">
        <v>1178</v>
      </c>
      <c r="J156" s="2">
        <v>63000</v>
      </c>
      <c r="K156" s="3">
        <v>45162</v>
      </c>
      <c r="L156" t="s">
        <v>28</v>
      </c>
      <c r="M156" t="s">
        <v>1179</v>
      </c>
      <c r="N156" t="s">
        <v>73</v>
      </c>
      <c r="O156" s="2">
        <f t="shared" si="4"/>
        <v>63000</v>
      </c>
      <c r="P156" s="2">
        <f t="shared" si="5"/>
        <v>756000</v>
      </c>
      <c r="Q156" s="13" t="s">
        <v>182</v>
      </c>
      <c r="R156" s="9" t="s">
        <v>54</v>
      </c>
      <c r="S156" s="3">
        <v>32381</v>
      </c>
    </row>
    <row r="157" spans="1:19" ht="27.6">
      <c r="A157" t="s">
        <v>1180</v>
      </c>
      <c r="B157" t="s">
        <v>1181</v>
      </c>
      <c r="C157" t="s">
        <v>965</v>
      </c>
      <c r="D157" t="s">
        <v>22</v>
      </c>
      <c r="E157" t="s">
        <v>1182</v>
      </c>
      <c r="F157" t="s">
        <v>1183</v>
      </c>
      <c r="G157" t="s">
        <v>1184</v>
      </c>
      <c r="H157" t="s">
        <v>1143</v>
      </c>
      <c r="I157" t="s">
        <v>1144</v>
      </c>
      <c r="J157" s="2">
        <v>103000</v>
      </c>
      <c r="K157" s="3">
        <v>45171</v>
      </c>
      <c r="L157" t="s">
        <v>28</v>
      </c>
      <c r="M157" t="s">
        <v>1185</v>
      </c>
      <c r="N157" t="s">
        <v>204</v>
      </c>
      <c r="O157" s="2">
        <f t="shared" si="4"/>
        <v>103000</v>
      </c>
      <c r="P157" s="2">
        <f t="shared" si="5"/>
        <v>1236000</v>
      </c>
      <c r="Q157" s="13" t="s">
        <v>608</v>
      </c>
      <c r="R157" s="9" t="s">
        <v>1154</v>
      </c>
      <c r="S157" s="3">
        <v>34708</v>
      </c>
    </row>
    <row r="158" spans="1:19">
      <c r="A158" t="s">
        <v>1186</v>
      </c>
      <c r="B158" t="s">
        <v>1187</v>
      </c>
      <c r="C158" t="s">
        <v>206</v>
      </c>
      <c r="D158" t="s">
        <v>22</v>
      </c>
      <c r="E158" t="s">
        <v>1188</v>
      </c>
      <c r="F158" t="s">
        <v>1189</v>
      </c>
      <c r="G158" t="s">
        <v>1190</v>
      </c>
      <c r="H158" t="s">
        <v>1143</v>
      </c>
      <c r="I158" t="s">
        <v>1152</v>
      </c>
      <c r="J158" s="2">
        <v>79000</v>
      </c>
      <c r="K158" s="3">
        <v>45180</v>
      </c>
      <c r="L158" t="s">
        <v>28</v>
      </c>
      <c r="M158" t="s">
        <v>1191</v>
      </c>
      <c r="N158" t="s">
        <v>30</v>
      </c>
      <c r="O158" s="2">
        <f t="shared" si="4"/>
        <v>79000</v>
      </c>
      <c r="P158" s="2">
        <f t="shared" si="5"/>
        <v>948000</v>
      </c>
      <c r="Q158" s="13" t="s">
        <v>1163</v>
      </c>
      <c r="R158" s="9" t="s">
        <v>609</v>
      </c>
      <c r="S158" s="3">
        <v>37427</v>
      </c>
    </row>
    <row r="159" spans="1:19">
      <c r="A159" t="s">
        <v>1192</v>
      </c>
      <c r="B159" t="s">
        <v>1193</v>
      </c>
      <c r="C159" t="s">
        <v>1194</v>
      </c>
      <c r="D159" t="s">
        <v>22</v>
      </c>
      <c r="E159" t="s">
        <v>1195</v>
      </c>
      <c r="F159" t="s">
        <v>1196</v>
      </c>
      <c r="G159" t="s">
        <v>1197</v>
      </c>
      <c r="H159" t="s">
        <v>1143</v>
      </c>
      <c r="I159" t="s">
        <v>1161</v>
      </c>
      <c r="J159" s="2">
        <v>68000</v>
      </c>
      <c r="K159" s="3">
        <v>45189</v>
      </c>
      <c r="L159" t="s">
        <v>28</v>
      </c>
      <c r="M159" t="s">
        <v>1198</v>
      </c>
      <c r="N159" t="s">
        <v>106</v>
      </c>
      <c r="O159" s="2">
        <f t="shared" si="4"/>
        <v>68000</v>
      </c>
      <c r="P159" s="2">
        <f t="shared" si="5"/>
        <v>816000</v>
      </c>
      <c r="Q159" s="13" t="s">
        <v>792</v>
      </c>
      <c r="R159" s="9" t="s">
        <v>793</v>
      </c>
      <c r="S159" s="3">
        <v>29528</v>
      </c>
    </row>
    <row r="160" spans="1:19">
      <c r="A160" t="s">
        <v>1199</v>
      </c>
      <c r="B160" t="s">
        <v>1200</v>
      </c>
      <c r="C160" t="s">
        <v>1201</v>
      </c>
      <c r="D160" t="s">
        <v>22</v>
      </c>
      <c r="E160" t="s">
        <v>1202</v>
      </c>
      <c r="F160" t="s">
        <v>1203</v>
      </c>
      <c r="G160" t="s">
        <v>1204</v>
      </c>
      <c r="H160" t="s">
        <v>1143</v>
      </c>
      <c r="I160" t="s">
        <v>1170</v>
      </c>
      <c r="J160" s="2">
        <v>56000</v>
      </c>
      <c r="K160" s="3">
        <v>45198</v>
      </c>
      <c r="L160" t="s">
        <v>28</v>
      </c>
      <c r="M160" t="s">
        <v>1205</v>
      </c>
      <c r="N160" t="s">
        <v>106</v>
      </c>
      <c r="O160" s="2">
        <f t="shared" si="4"/>
        <v>56000</v>
      </c>
      <c r="P160" s="2">
        <f t="shared" si="5"/>
        <v>672000</v>
      </c>
      <c r="Q160" s="13" t="s">
        <v>53</v>
      </c>
      <c r="R160" s="9" t="s">
        <v>54</v>
      </c>
      <c r="S160" s="3">
        <v>31881</v>
      </c>
    </row>
    <row r="161" spans="1:19" ht="27.6">
      <c r="A161" t="s">
        <v>1206</v>
      </c>
      <c r="B161" t="s">
        <v>1207</v>
      </c>
      <c r="C161" t="s">
        <v>1208</v>
      </c>
      <c r="D161" t="s">
        <v>22</v>
      </c>
      <c r="E161" t="s">
        <v>1209</v>
      </c>
      <c r="F161" t="s">
        <v>1210</v>
      </c>
      <c r="G161" t="s">
        <v>1211</v>
      </c>
      <c r="H161" t="s">
        <v>1143</v>
      </c>
      <c r="I161" t="s">
        <v>1178</v>
      </c>
      <c r="J161" s="2">
        <v>70000</v>
      </c>
      <c r="K161" s="3">
        <v>45207</v>
      </c>
      <c r="L161" t="s">
        <v>28</v>
      </c>
      <c r="M161" t="s">
        <v>1212</v>
      </c>
      <c r="N161" t="s">
        <v>82</v>
      </c>
      <c r="O161" s="2">
        <f t="shared" si="4"/>
        <v>70000</v>
      </c>
      <c r="P161" s="2">
        <f t="shared" si="5"/>
        <v>840000</v>
      </c>
      <c r="Q161" s="13" t="s">
        <v>608</v>
      </c>
      <c r="R161" s="9" t="s">
        <v>1154</v>
      </c>
      <c r="S161" s="3">
        <v>34602</v>
      </c>
    </row>
    <row r="162" spans="1:19">
      <c r="A162" t="s">
        <v>1213</v>
      </c>
      <c r="B162" t="s">
        <v>1214</v>
      </c>
      <c r="C162" t="s">
        <v>1215</v>
      </c>
      <c r="D162" t="s">
        <v>22</v>
      </c>
      <c r="E162" t="s">
        <v>1216</v>
      </c>
      <c r="F162" t="s">
        <v>1217</v>
      </c>
      <c r="G162" t="s">
        <v>1218</v>
      </c>
      <c r="H162" t="s">
        <v>1143</v>
      </c>
      <c r="I162" t="s">
        <v>1144</v>
      </c>
      <c r="J162" s="2">
        <v>81000</v>
      </c>
      <c r="K162" s="3">
        <v>45216</v>
      </c>
      <c r="L162" t="s">
        <v>28</v>
      </c>
      <c r="M162" t="s">
        <v>1219</v>
      </c>
      <c r="N162" t="s">
        <v>52</v>
      </c>
      <c r="O162" s="2">
        <f t="shared" si="4"/>
        <v>81000</v>
      </c>
      <c r="P162" s="2">
        <f t="shared" si="5"/>
        <v>972000</v>
      </c>
      <c r="Q162" s="13" t="s">
        <v>1163</v>
      </c>
      <c r="R162" s="9" t="s">
        <v>609</v>
      </c>
      <c r="S162" s="3">
        <v>36930</v>
      </c>
    </row>
    <row r="163" spans="1:19">
      <c r="A163" t="s">
        <v>1220</v>
      </c>
      <c r="B163" t="s">
        <v>1221</v>
      </c>
      <c r="C163" t="s">
        <v>1222</v>
      </c>
      <c r="D163" t="s">
        <v>22</v>
      </c>
      <c r="E163" t="s">
        <v>1223</v>
      </c>
      <c r="F163" t="s">
        <v>1224</v>
      </c>
      <c r="G163" t="s">
        <v>1225</v>
      </c>
      <c r="H163" t="s">
        <v>1143</v>
      </c>
      <c r="I163" t="s">
        <v>1152</v>
      </c>
      <c r="J163" s="2">
        <v>89000</v>
      </c>
      <c r="K163" s="3">
        <v>45225</v>
      </c>
      <c r="L163" t="s">
        <v>28</v>
      </c>
      <c r="M163" t="s">
        <v>1226</v>
      </c>
      <c r="N163" t="s">
        <v>98</v>
      </c>
      <c r="O163" s="2">
        <f t="shared" si="4"/>
        <v>89000</v>
      </c>
      <c r="P163" s="2">
        <f t="shared" si="5"/>
        <v>1068000</v>
      </c>
      <c r="Q163" s="13" t="s">
        <v>792</v>
      </c>
      <c r="R163" s="9" t="s">
        <v>793</v>
      </c>
      <c r="S163" s="3">
        <v>29055</v>
      </c>
    </row>
    <row r="164" spans="1:19">
      <c r="A164" t="s">
        <v>1227</v>
      </c>
      <c r="B164" t="s">
        <v>1228</v>
      </c>
      <c r="C164" t="s">
        <v>1229</v>
      </c>
      <c r="D164" t="s">
        <v>22</v>
      </c>
      <c r="E164" t="s">
        <v>1230</v>
      </c>
      <c r="F164" t="s">
        <v>1231</v>
      </c>
      <c r="G164" t="s">
        <v>1232</v>
      </c>
      <c r="H164" t="s">
        <v>1143</v>
      </c>
      <c r="I164" t="s">
        <v>1161</v>
      </c>
      <c r="J164" s="2">
        <v>78000</v>
      </c>
      <c r="K164" s="3">
        <v>45234</v>
      </c>
      <c r="L164" t="s">
        <v>28</v>
      </c>
      <c r="M164" t="s">
        <v>1233</v>
      </c>
      <c r="N164" t="s">
        <v>30</v>
      </c>
      <c r="O164" s="2">
        <f t="shared" si="4"/>
        <v>78000</v>
      </c>
      <c r="P164" s="2">
        <f t="shared" si="5"/>
        <v>936000</v>
      </c>
      <c r="Q164" s="13" t="s">
        <v>90</v>
      </c>
      <c r="R164" s="9" t="s">
        <v>54</v>
      </c>
      <c r="S164" s="3">
        <v>31748</v>
      </c>
    </row>
    <row r="165" spans="1:19" ht="27.6">
      <c r="A165" t="s">
        <v>1234</v>
      </c>
      <c r="B165" t="s">
        <v>1235</v>
      </c>
      <c r="C165" t="s">
        <v>1236</v>
      </c>
      <c r="D165" t="s">
        <v>22</v>
      </c>
      <c r="E165" t="s">
        <v>1237</v>
      </c>
      <c r="F165" t="s">
        <v>1238</v>
      </c>
      <c r="G165" t="s">
        <v>1239</v>
      </c>
      <c r="H165" t="s">
        <v>1143</v>
      </c>
      <c r="I165" t="s">
        <v>1170</v>
      </c>
      <c r="J165" s="2">
        <v>47000</v>
      </c>
      <c r="K165" s="3">
        <v>45243</v>
      </c>
      <c r="L165" t="s">
        <v>28</v>
      </c>
      <c r="M165" t="s">
        <v>1240</v>
      </c>
      <c r="N165" t="s">
        <v>98</v>
      </c>
      <c r="O165" s="2">
        <f t="shared" si="4"/>
        <v>47000</v>
      </c>
      <c r="P165" s="2">
        <f t="shared" si="5"/>
        <v>564000</v>
      </c>
      <c r="Q165" s="13" t="s">
        <v>608</v>
      </c>
      <c r="R165" s="9" t="s">
        <v>1154</v>
      </c>
      <c r="S165" s="3">
        <v>34102</v>
      </c>
    </row>
    <row r="166" spans="1:19">
      <c r="A166" t="s">
        <v>1241</v>
      </c>
      <c r="B166" t="s">
        <v>1242</v>
      </c>
      <c r="C166" t="s">
        <v>1243</v>
      </c>
      <c r="D166" t="s">
        <v>22</v>
      </c>
      <c r="E166" t="s">
        <v>1244</v>
      </c>
      <c r="F166" t="s">
        <v>1245</v>
      </c>
      <c r="G166" t="s">
        <v>1246</v>
      </c>
      <c r="H166" t="s">
        <v>1143</v>
      </c>
      <c r="I166" t="s">
        <v>1178</v>
      </c>
      <c r="J166" s="2">
        <v>40000</v>
      </c>
      <c r="K166" s="3">
        <v>45252</v>
      </c>
      <c r="L166" t="s">
        <v>28</v>
      </c>
      <c r="M166" t="s">
        <v>1247</v>
      </c>
      <c r="N166" t="s">
        <v>204</v>
      </c>
      <c r="O166" s="2">
        <f t="shared" si="4"/>
        <v>40000</v>
      </c>
      <c r="P166" s="2">
        <f t="shared" si="5"/>
        <v>480000</v>
      </c>
      <c r="Q166" s="13" t="s">
        <v>1163</v>
      </c>
      <c r="R166" s="9" t="s">
        <v>609</v>
      </c>
      <c r="S166" s="3">
        <v>36823</v>
      </c>
    </row>
    <row r="167" spans="1:19">
      <c r="A167" t="s">
        <v>1248</v>
      </c>
      <c r="B167" t="s">
        <v>1249</v>
      </c>
      <c r="C167" t="s">
        <v>1250</v>
      </c>
      <c r="D167" t="s">
        <v>22</v>
      </c>
      <c r="E167" t="s">
        <v>1251</v>
      </c>
      <c r="F167" t="s">
        <v>1252</v>
      </c>
      <c r="G167" t="s">
        <v>1253</v>
      </c>
      <c r="H167" t="s">
        <v>1143</v>
      </c>
      <c r="I167" t="s">
        <v>1144</v>
      </c>
      <c r="J167" s="2">
        <v>81000</v>
      </c>
      <c r="K167" s="3">
        <v>45261</v>
      </c>
      <c r="L167" t="s">
        <v>28</v>
      </c>
      <c r="M167" t="s">
        <v>1254</v>
      </c>
      <c r="N167" t="s">
        <v>98</v>
      </c>
      <c r="O167" s="2">
        <f t="shared" si="4"/>
        <v>81000</v>
      </c>
      <c r="P167" s="2">
        <f t="shared" si="5"/>
        <v>972000</v>
      </c>
      <c r="Q167" s="13" t="s">
        <v>792</v>
      </c>
      <c r="R167" s="9" t="s">
        <v>793</v>
      </c>
      <c r="S167" s="3">
        <v>28556</v>
      </c>
    </row>
    <row r="168" spans="1:19">
      <c r="A168" t="s">
        <v>1255</v>
      </c>
      <c r="B168" t="s">
        <v>1256</v>
      </c>
      <c r="C168" t="s">
        <v>1257</v>
      </c>
      <c r="D168" t="s">
        <v>22</v>
      </c>
      <c r="E168" t="s">
        <v>1258</v>
      </c>
      <c r="F168" t="s">
        <v>1259</v>
      </c>
      <c r="G168" t="s">
        <v>1260</v>
      </c>
      <c r="H168" t="s">
        <v>1143</v>
      </c>
      <c r="I168" t="s">
        <v>1152</v>
      </c>
      <c r="J168" s="2">
        <v>83000</v>
      </c>
      <c r="K168" s="3">
        <v>45270</v>
      </c>
      <c r="L168" t="s">
        <v>28</v>
      </c>
      <c r="M168" t="s">
        <v>1261</v>
      </c>
      <c r="N168" t="s">
        <v>73</v>
      </c>
      <c r="O168" s="2">
        <f t="shared" si="4"/>
        <v>83000</v>
      </c>
      <c r="P168" s="2">
        <f t="shared" si="5"/>
        <v>996000</v>
      </c>
      <c r="Q168" s="13" t="s">
        <v>122</v>
      </c>
      <c r="R168" s="9" t="s">
        <v>54</v>
      </c>
      <c r="S168" s="3">
        <v>31277</v>
      </c>
    </row>
    <row r="169" spans="1:19" ht="27.6">
      <c r="A169" t="s">
        <v>1262</v>
      </c>
      <c r="B169" t="s">
        <v>1263</v>
      </c>
      <c r="C169" t="s">
        <v>1056</v>
      </c>
      <c r="D169" t="s">
        <v>22</v>
      </c>
      <c r="E169" t="s">
        <v>1264</v>
      </c>
      <c r="F169" t="s">
        <v>1265</v>
      </c>
      <c r="G169" t="s">
        <v>1266</v>
      </c>
      <c r="H169" t="s">
        <v>1143</v>
      </c>
      <c r="I169" t="s">
        <v>1161</v>
      </c>
      <c r="J169" s="2">
        <v>80000</v>
      </c>
      <c r="K169" s="3">
        <v>45279</v>
      </c>
      <c r="L169" t="s">
        <v>28</v>
      </c>
      <c r="M169" t="s">
        <v>1267</v>
      </c>
      <c r="N169" t="s">
        <v>30</v>
      </c>
      <c r="O169" s="2">
        <f t="shared" si="4"/>
        <v>80000</v>
      </c>
      <c r="P169" s="2">
        <f t="shared" si="5"/>
        <v>960000</v>
      </c>
      <c r="Q169" s="13" t="s">
        <v>608</v>
      </c>
      <c r="R169" s="9" t="s">
        <v>1154</v>
      </c>
      <c r="S169" s="3">
        <v>33604</v>
      </c>
    </row>
    <row r="170" spans="1:19">
      <c r="A170" t="s">
        <v>1268</v>
      </c>
      <c r="B170" t="s">
        <v>1269</v>
      </c>
      <c r="C170" t="s">
        <v>1270</v>
      </c>
      <c r="D170" t="s">
        <v>22</v>
      </c>
      <c r="E170" t="s">
        <v>1271</v>
      </c>
      <c r="F170" t="s">
        <v>1272</v>
      </c>
      <c r="G170" t="s">
        <v>1273</v>
      </c>
      <c r="H170" t="s">
        <v>1143</v>
      </c>
      <c r="I170" t="s">
        <v>1170</v>
      </c>
      <c r="J170" s="2">
        <v>105000</v>
      </c>
      <c r="K170" s="3">
        <v>45288</v>
      </c>
      <c r="L170" t="s">
        <v>28</v>
      </c>
      <c r="M170" t="s">
        <v>1274</v>
      </c>
      <c r="N170" t="s">
        <v>82</v>
      </c>
      <c r="O170" s="2">
        <f t="shared" si="4"/>
        <v>105000</v>
      </c>
      <c r="P170" s="2">
        <f t="shared" si="5"/>
        <v>1260000</v>
      </c>
      <c r="Q170" s="13" t="s">
        <v>1163</v>
      </c>
      <c r="R170" s="9" t="s">
        <v>609</v>
      </c>
      <c r="S170" s="3">
        <v>36323</v>
      </c>
    </row>
    <row r="171" spans="1:19">
      <c r="A171" t="s">
        <v>1275</v>
      </c>
      <c r="B171" t="s">
        <v>1276</v>
      </c>
      <c r="C171" t="s">
        <v>1277</v>
      </c>
      <c r="D171" t="s">
        <v>22</v>
      </c>
      <c r="E171" t="s">
        <v>1278</v>
      </c>
      <c r="F171" t="s">
        <v>1279</v>
      </c>
      <c r="G171" t="s">
        <v>1280</v>
      </c>
      <c r="H171" t="s">
        <v>1143</v>
      </c>
      <c r="I171" t="s">
        <v>1178</v>
      </c>
      <c r="J171" s="2">
        <v>71000</v>
      </c>
      <c r="K171" s="3">
        <v>45297</v>
      </c>
      <c r="L171" t="s">
        <v>28</v>
      </c>
      <c r="M171" t="s">
        <v>1281</v>
      </c>
      <c r="N171" t="s">
        <v>98</v>
      </c>
      <c r="O171" s="2">
        <f t="shared" si="4"/>
        <v>71000</v>
      </c>
      <c r="P171" s="2">
        <f t="shared" si="5"/>
        <v>852000</v>
      </c>
      <c r="Q171" s="13" t="s">
        <v>792</v>
      </c>
      <c r="R171" s="9" t="s">
        <v>793</v>
      </c>
      <c r="S171" s="3">
        <v>28452</v>
      </c>
    </row>
    <row r="172" spans="1:19">
      <c r="A172" t="s">
        <v>1282</v>
      </c>
      <c r="B172" t="s">
        <v>1283</v>
      </c>
      <c r="C172" t="s">
        <v>1284</v>
      </c>
      <c r="D172" t="s">
        <v>22</v>
      </c>
      <c r="E172" t="s">
        <v>1285</v>
      </c>
      <c r="F172" t="s">
        <v>1286</v>
      </c>
      <c r="G172" t="s">
        <v>1287</v>
      </c>
      <c r="H172" t="s">
        <v>1143</v>
      </c>
      <c r="I172" t="s">
        <v>1144</v>
      </c>
      <c r="J172" s="2">
        <v>92000</v>
      </c>
      <c r="K172" s="3">
        <v>45306</v>
      </c>
      <c r="L172" t="s">
        <v>28</v>
      </c>
      <c r="M172" t="s">
        <v>1288</v>
      </c>
      <c r="N172" t="s">
        <v>82</v>
      </c>
      <c r="O172" s="2">
        <f t="shared" si="4"/>
        <v>92000</v>
      </c>
      <c r="P172" s="2">
        <f t="shared" si="5"/>
        <v>1104000</v>
      </c>
      <c r="Q172" s="13" t="s">
        <v>152</v>
      </c>
      <c r="R172" s="9" t="s">
        <v>54</v>
      </c>
      <c r="S172" s="3">
        <v>30778</v>
      </c>
    </row>
    <row r="173" spans="1:19" ht="27.6">
      <c r="A173" t="s">
        <v>1289</v>
      </c>
      <c r="B173" t="s">
        <v>1290</v>
      </c>
      <c r="C173" t="s">
        <v>1291</v>
      </c>
      <c r="D173" t="s">
        <v>22</v>
      </c>
      <c r="E173" t="s">
        <v>1292</v>
      </c>
      <c r="F173" t="s">
        <v>1293</v>
      </c>
      <c r="G173" t="s">
        <v>1294</v>
      </c>
      <c r="H173" t="s">
        <v>1143</v>
      </c>
      <c r="I173" t="s">
        <v>1152</v>
      </c>
      <c r="J173" s="2">
        <v>90000</v>
      </c>
      <c r="K173" s="3">
        <v>45315</v>
      </c>
      <c r="L173" t="s">
        <v>28</v>
      </c>
      <c r="M173" t="s">
        <v>1295</v>
      </c>
      <c r="N173" t="s">
        <v>73</v>
      </c>
      <c r="O173" s="2">
        <f t="shared" si="4"/>
        <v>90000</v>
      </c>
      <c r="P173" s="2">
        <f t="shared" si="5"/>
        <v>1080000</v>
      </c>
      <c r="Q173" s="13" t="s">
        <v>608</v>
      </c>
      <c r="R173" s="9" t="s">
        <v>1154</v>
      </c>
      <c r="S173" s="3">
        <v>33498</v>
      </c>
    </row>
    <row r="174" spans="1:19">
      <c r="A174" t="s">
        <v>1296</v>
      </c>
      <c r="B174" t="s">
        <v>1297</v>
      </c>
      <c r="C174" t="s">
        <v>1298</v>
      </c>
      <c r="D174" t="s">
        <v>22</v>
      </c>
      <c r="E174" t="s">
        <v>1299</v>
      </c>
      <c r="F174" t="s">
        <v>1300</v>
      </c>
      <c r="G174" t="s">
        <v>1301</v>
      </c>
      <c r="H174" t="s">
        <v>1143</v>
      </c>
      <c r="I174" t="s">
        <v>1161</v>
      </c>
      <c r="J174" s="2">
        <v>105000</v>
      </c>
      <c r="K174" s="3">
        <v>45324</v>
      </c>
      <c r="L174" t="s">
        <v>28</v>
      </c>
      <c r="M174" t="s">
        <v>1302</v>
      </c>
      <c r="N174" t="s">
        <v>98</v>
      </c>
      <c r="O174" s="2">
        <f t="shared" si="4"/>
        <v>105000</v>
      </c>
      <c r="P174" s="2">
        <f t="shared" si="5"/>
        <v>1260000</v>
      </c>
      <c r="Q174" s="13" t="s">
        <v>1163</v>
      </c>
      <c r="R174" s="9" t="s">
        <v>609</v>
      </c>
      <c r="S174" s="3">
        <v>35854</v>
      </c>
    </row>
    <row r="175" spans="1:19">
      <c r="A175" t="s">
        <v>1303</v>
      </c>
      <c r="B175" t="s">
        <v>1304</v>
      </c>
      <c r="C175" t="s">
        <v>1305</v>
      </c>
      <c r="D175" t="s">
        <v>22</v>
      </c>
      <c r="E175" t="s">
        <v>1306</v>
      </c>
      <c r="F175" t="s">
        <v>1307</v>
      </c>
      <c r="G175" t="s">
        <v>1308</v>
      </c>
      <c r="H175" t="s">
        <v>1143</v>
      </c>
      <c r="I175" t="s">
        <v>1170</v>
      </c>
      <c r="J175" s="2">
        <v>89000</v>
      </c>
      <c r="K175" s="3">
        <v>45333</v>
      </c>
      <c r="L175" t="s">
        <v>218</v>
      </c>
      <c r="M175" t="s">
        <v>1309</v>
      </c>
      <c r="N175" t="s">
        <v>98</v>
      </c>
      <c r="O175" s="2">
        <f t="shared" si="4"/>
        <v>89000</v>
      </c>
      <c r="P175" s="2">
        <f t="shared" si="5"/>
        <v>1068000</v>
      </c>
      <c r="Q175" s="13" t="s">
        <v>792</v>
      </c>
      <c r="R175" s="9" t="s">
        <v>793</v>
      </c>
      <c r="S175" s="3">
        <v>27952</v>
      </c>
    </row>
    <row r="176" spans="1:19" ht="27.6">
      <c r="A176" t="s">
        <v>1310</v>
      </c>
      <c r="B176" t="s">
        <v>475</v>
      </c>
      <c r="C176" t="s">
        <v>1311</v>
      </c>
      <c r="D176" t="s">
        <v>22</v>
      </c>
      <c r="E176" t="s">
        <v>1312</v>
      </c>
      <c r="F176" t="s">
        <v>1313</v>
      </c>
      <c r="G176" t="s">
        <v>1314</v>
      </c>
      <c r="H176" t="s">
        <v>1143</v>
      </c>
      <c r="I176" t="s">
        <v>1178</v>
      </c>
      <c r="J176" s="2">
        <v>53000</v>
      </c>
      <c r="K176" s="3">
        <v>45342</v>
      </c>
      <c r="L176" t="s">
        <v>28</v>
      </c>
      <c r="M176" t="s">
        <v>1315</v>
      </c>
      <c r="N176" t="s">
        <v>30</v>
      </c>
      <c r="O176" s="2">
        <f t="shared" si="4"/>
        <v>53000</v>
      </c>
      <c r="P176" s="2">
        <f t="shared" si="5"/>
        <v>636000</v>
      </c>
      <c r="Q176" s="13" t="s">
        <v>182</v>
      </c>
      <c r="R176" s="9" t="s">
        <v>54</v>
      </c>
      <c r="S176" s="3">
        <v>30672</v>
      </c>
    </row>
    <row r="177" spans="1:19" ht="27.6">
      <c r="A177" t="s">
        <v>1316</v>
      </c>
      <c r="B177" t="s">
        <v>1317</v>
      </c>
      <c r="C177" t="s">
        <v>348</v>
      </c>
      <c r="D177" t="s">
        <v>22</v>
      </c>
      <c r="E177" t="s">
        <v>1318</v>
      </c>
      <c r="F177" t="s">
        <v>1319</v>
      </c>
      <c r="G177" t="s">
        <v>1320</v>
      </c>
      <c r="H177" t="s">
        <v>1321</v>
      </c>
      <c r="I177" t="s">
        <v>1322</v>
      </c>
      <c r="J177" s="2">
        <v>34000</v>
      </c>
      <c r="K177" s="3">
        <v>45351</v>
      </c>
      <c r="L177" t="s">
        <v>28</v>
      </c>
      <c r="M177" t="s">
        <v>1323</v>
      </c>
      <c r="N177" t="s">
        <v>30</v>
      </c>
      <c r="O177" s="2">
        <f t="shared" si="4"/>
        <v>34000</v>
      </c>
      <c r="P177" s="2">
        <f t="shared" si="5"/>
        <v>408000</v>
      </c>
      <c r="Q177" s="13" t="s">
        <v>182</v>
      </c>
      <c r="R177" s="9" t="s">
        <v>54</v>
      </c>
      <c r="S177" s="3">
        <v>32998</v>
      </c>
    </row>
    <row r="178" spans="1:19" ht="27.6">
      <c r="A178" t="s">
        <v>1324</v>
      </c>
      <c r="B178" t="s">
        <v>1325</v>
      </c>
      <c r="C178" t="s">
        <v>1326</v>
      </c>
      <c r="D178" t="s">
        <v>22</v>
      </c>
      <c r="E178" t="s">
        <v>1327</v>
      </c>
      <c r="F178" t="s">
        <v>1328</v>
      </c>
      <c r="G178" t="s">
        <v>1329</v>
      </c>
      <c r="H178" t="s">
        <v>1321</v>
      </c>
      <c r="I178" t="s">
        <v>1330</v>
      </c>
      <c r="J178" s="2">
        <v>49000</v>
      </c>
      <c r="K178" s="3">
        <v>45360</v>
      </c>
      <c r="L178" t="s">
        <v>28</v>
      </c>
      <c r="M178" t="s">
        <v>1331</v>
      </c>
      <c r="N178" t="s">
        <v>52</v>
      </c>
      <c r="O178" s="2">
        <f t="shared" si="4"/>
        <v>49000</v>
      </c>
      <c r="P178" s="2">
        <f t="shared" si="5"/>
        <v>588000</v>
      </c>
      <c r="Q178" s="13" t="s">
        <v>608</v>
      </c>
      <c r="R178" s="9" t="s">
        <v>1332</v>
      </c>
      <c r="S178" s="3">
        <v>35719</v>
      </c>
    </row>
    <row r="179" spans="1:19">
      <c r="A179" t="s">
        <v>1333</v>
      </c>
      <c r="B179" t="s">
        <v>1334</v>
      </c>
      <c r="C179" t="s">
        <v>1335</v>
      </c>
      <c r="D179" t="s">
        <v>22</v>
      </c>
      <c r="E179" t="s">
        <v>1336</v>
      </c>
      <c r="F179" t="s">
        <v>1337</v>
      </c>
      <c r="G179" t="s">
        <v>1338</v>
      </c>
      <c r="H179" t="s">
        <v>1321</v>
      </c>
      <c r="I179" t="s">
        <v>1339</v>
      </c>
      <c r="J179" s="2">
        <v>52000</v>
      </c>
      <c r="K179" s="3">
        <v>45369</v>
      </c>
      <c r="L179" t="s">
        <v>28</v>
      </c>
      <c r="M179" t="s">
        <v>1340</v>
      </c>
      <c r="N179" t="s">
        <v>73</v>
      </c>
      <c r="O179" s="2">
        <f t="shared" si="4"/>
        <v>52000</v>
      </c>
      <c r="P179" s="2">
        <f t="shared" si="5"/>
        <v>624000</v>
      </c>
      <c r="Q179" s="13" t="s">
        <v>152</v>
      </c>
      <c r="R179" s="9" t="s">
        <v>991</v>
      </c>
      <c r="S179" s="3">
        <v>38073</v>
      </c>
    </row>
    <row r="180" spans="1:19">
      <c r="A180" t="s">
        <v>1341</v>
      </c>
      <c r="B180" t="s">
        <v>1342</v>
      </c>
      <c r="C180" t="s">
        <v>1343</v>
      </c>
      <c r="D180" t="s">
        <v>22</v>
      </c>
      <c r="E180" t="s">
        <v>1344</v>
      </c>
      <c r="F180" t="s">
        <v>1345</v>
      </c>
      <c r="G180" t="s">
        <v>1346</v>
      </c>
      <c r="H180" t="s">
        <v>1321</v>
      </c>
      <c r="I180" t="s">
        <v>1347</v>
      </c>
      <c r="J180" s="2">
        <v>63000</v>
      </c>
      <c r="K180" s="3">
        <v>45378</v>
      </c>
      <c r="L180" t="s">
        <v>28</v>
      </c>
      <c r="M180" t="s">
        <v>1348</v>
      </c>
      <c r="N180" t="s">
        <v>41</v>
      </c>
      <c r="O180" s="2">
        <f t="shared" si="4"/>
        <v>63000</v>
      </c>
      <c r="P180" s="2">
        <f t="shared" si="5"/>
        <v>756000</v>
      </c>
      <c r="Q180" s="13" t="s">
        <v>90</v>
      </c>
      <c r="R180" s="9" t="s">
        <v>54</v>
      </c>
      <c r="S180" s="3">
        <v>30173</v>
      </c>
    </row>
    <row r="181" spans="1:19">
      <c r="A181" t="s">
        <v>1349</v>
      </c>
      <c r="B181" t="s">
        <v>1350</v>
      </c>
      <c r="C181" t="s">
        <v>1351</v>
      </c>
      <c r="D181" t="s">
        <v>22</v>
      </c>
      <c r="E181" t="s">
        <v>1352</v>
      </c>
      <c r="F181" t="s">
        <v>1353</v>
      </c>
      <c r="G181" t="s">
        <v>1354</v>
      </c>
      <c r="H181" t="s">
        <v>1321</v>
      </c>
      <c r="I181" t="s">
        <v>1355</v>
      </c>
      <c r="J181" s="2">
        <v>52000</v>
      </c>
      <c r="K181" s="3">
        <v>45387</v>
      </c>
      <c r="L181" t="s">
        <v>28</v>
      </c>
      <c r="M181" t="s">
        <v>1356</v>
      </c>
      <c r="N181" t="s">
        <v>98</v>
      </c>
      <c r="O181" s="2">
        <f t="shared" si="4"/>
        <v>52000</v>
      </c>
      <c r="P181" s="2">
        <f t="shared" si="5"/>
        <v>624000</v>
      </c>
      <c r="Q181" s="13" t="s">
        <v>981</v>
      </c>
      <c r="R181" s="9" t="s">
        <v>1332</v>
      </c>
      <c r="S181" s="3">
        <v>32529</v>
      </c>
    </row>
    <row r="182" spans="1:19">
      <c r="A182" t="s">
        <v>1357</v>
      </c>
      <c r="B182" t="s">
        <v>1358</v>
      </c>
      <c r="C182" t="s">
        <v>1359</v>
      </c>
      <c r="D182" t="s">
        <v>22</v>
      </c>
      <c r="E182" t="s">
        <v>1360</v>
      </c>
      <c r="F182" t="s">
        <v>1361</v>
      </c>
      <c r="G182" t="s">
        <v>1362</v>
      </c>
      <c r="H182" t="s">
        <v>1321</v>
      </c>
      <c r="I182" t="s">
        <v>1322</v>
      </c>
      <c r="J182" s="2">
        <v>56000</v>
      </c>
      <c r="K182" s="3">
        <v>45396</v>
      </c>
      <c r="L182" t="s">
        <v>28</v>
      </c>
      <c r="M182" t="s">
        <v>1363</v>
      </c>
      <c r="N182" t="s">
        <v>52</v>
      </c>
      <c r="O182" s="2">
        <f t="shared" si="4"/>
        <v>56000</v>
      </c>
      <c r="P182" s="2">
        <f t="shared" si="5"/>
        <v>672000</v>
      </c>
      <c r="Q182" s="13" t="s">
        <v>53</v>
      </c>
      <c r="R182" s="9" t="s">
        <v>991</v>
      </c>
      <c r="S182" s="3">
        <v>35220</v>
      </c>
    </row>
    <row r="183" spans="1:19">
      <c r="A183" t="s">
        <v>1364</v>
      </c>
      <c r="B183" t="s">
        <v>1365</v>
      </c>
      <c r="C183" t="s">
        <v>1366</v>
      </c>
      <c r="D183" t="s">
        <v>22</v>
      </c>
      <c r="E183" t="s">
        <v>1367</v>
      </c>
      <c r="F183" t="s">
        <v>1368</v>
      </c>
      <c r="G183" t="s">
        <v>1369</v>
      </c>
      <c r="H183" t="s">
        <v>1321</v>
      </c>
      <c r="I183" t="s">
        <v>1330</v>
      </c>
      <c r="J183" s="2">
        <v>68000</v>
      </c>
      <c r="K183" s="3">
        <v>45405</v>
      </c>
      <c r="L183" t="s">
        <v>28</v>
      </c>
      <c r="M183" t="s">
        <v>1370</v>
      </c>
      <c r="N183" t="s">
        <v>41</v>
      </c>
      <c r="O183" s="2">
        <f t="shared" si="4"/>
        <v>68000</v>
      </c>
      <c r="P183" s="2">
        <f t="shared" si="5"/>
        <v>816000</v>
      </c>
      <c r="Q183" s="13" t="s">
        <v>152</v>
      </c>
      <c r="R183" s="9" t="s">
        <v>54</v>
      </c>
      <c r="S183" s="3">
        <v>37940</v>
      </c>
    </row>
    <row r="184" spans="1:19">
      <c r="A184" t="s">
        <v>1371</v>
      </c>
      <c r="B184" t="s">
        <v>1372</v>
      </c>
      <c r="C184" t="s">
        <v>1373</v>
      </c>
      <c r="D184" t="s">
        <v>22</v>
      </c>
      <c r="E184" t="s">
        <v>1374</v>
      </c>
      <c r="F184" t="s">
        <v>1375</v>
      </c>
      <c r="G184" t="s">
        <v>1376</v>
      </c>
      <c r="H184" t="s">
        <v>1321</v>
      </c>
      <c r="I184" t="s">
        <v>1339</v>
      </c>
      <c r="J184" s="2">
        <v>64000</v>
      </c>
      <c r="K184" s="3">
        <v>45414</v>
      </c>
      <c r="L184" t="s">
        <v>28</v>
      </c>
      <c r="M184" t="s">
        <v>1377</v>
      </c>
      <c r="N184" t="s">
        <v>41</v>
      </c>
      <c r="O184" s="2">
        <f t="shared" si="4"/>
        <v>64000</v>
      </c>
      <c r="P184" s="2">
        <f t="shared" si="5"/>
        <v>768000</v>
      </c>
      <c r="Q184" s="13" t="s">
        <v>627</v>
      </c>
      <c r="R184" s="9" t="s">
        <v>1332</v>
      </c>
      <c r="S184" s="3">
        <v>29702</v>
      </c>
    </row>
    <row r="185" spans="1:19">
      <c r="A185" t="s">
        <v>1378</v>
      </c>
      <c r="B185" t="s">
        <v>1379</v>
      </c>
      <c r="C185" t="s">
        <v>1380</v>
      </c>
      <c r="D185" t="s">
        <v>22</v>
      </c>
      <c r="E185" t="s">
        <v>1381</v>
      </c>
      <c r="F185" t="s">
        <v>1382</v>
      </c>
      <c r="G185" t="s">
        <v>1383</v>
      </c>
      <c r="H185" t="s">
        <v>1321</v>
      </c>
      <c r="I185" t="s">
        <v>1347</v>
      </c>
      <c r="J185" s="2">
        <v>35000</v>
      </c>
      <c r="K185" s="3">
        <v>45423</v>
      </c>
      <c r="L185" t="s">
        <v>28</v>
      </c>
      <c r="M185" t="s">
        <v>1384</v>
      </c>
      <c r="N185" t="s">
        <v>73</v>
      </c>
      <c r="O185" s="2">
        <f t="shared" si="4"/>
        <v>35000</v>
      </c>
      <c r="P185" s="2">
        <f t="shared" si="5"/>
        <v>420000</v>
      </c>
      <c r="Q185" s="13" t="s">
        <v>122</v>
      </c>
      <c r="R185" s="9" t="s">
        <v>991</v>
      </c>
      <c r="S185" s="3">
        <v>32395</v>
      </c>
    </row>
    <row r="186" spans="1:19">
      <c r="A186" t="s">
        <v>1385</v>
      </c>
      <c r="B186" t="s">
        <v>1386</v>
      </c>
      <c r="C186" t="s">
        <v>1387</v>
      </c>
      <c r="D186" t="s">
        <v>22</v>
      </c>
      <c r="E186" t="s">
        <v>1388</v>
      </c>
      <c r="F186" t="s">
        <v>1389</v>
      </c>
      <c r="G186" t="s">
        <v>1390</v>
      </c>
      <c r="H186" t="s">
        <v>1321</v>
      </c>
      <c r="I186" t="s">
        <v>1355</v>
      </c>
      <c r="J186" s="2">
        <v>35000</v>
      </c>
      <c r="K186" s="3">
        <v>45432</v>
      </c>
      <c r="L186" t="s">
        <v>28</v>
      </c>
      <c r="M186" t="s">
        <v>1391</v>
      </c>
      <c r="N186" t="s">
        <v>73</v>
      </c>
      <c r="O186" s="2">
        <f t="shared" si="4"/>
        <v>35000</v>
      </c>
      <c r="P186" s="2">
        <f t="shared" si="5"/>
        <v>420000</v>
      </c>
      <c r="Q186" s="13" t="s">
        <v>53</v>
      </c>
      <c r="R186" s="9" t="s">
        <v>54</v>
      </c>
      <c r="S186" s="3">
        <v>34750</v>
      </c>
    </row>
    <row r="187" spans="1:19">
      <c r="A187" t="s">
        <v>1392</v>
      </c>
      <c r="B187" t="s">
        <v>1393</v>
      </c>
      <c r="C187" t="s">
        <v>1394</v>
      </c>
      <c r="D187" t="s">
        <v>22</v>
      </c>
      <c r="E187" t="s">
        <v>1395</v>
      </c>
      <c r="F187" t="s">
        <v>1396</v>
      </c>
      <c r="G187" t="s">
        <v>1397</v>
      </c>
      <c r="H187" t="s">
        <v>1321</v>
      </c>
      <c r="I187" t="s">
        <v>1322</v>
      </c>
      <c r="J187" s="2">
        <v>40000</v>
      </c>
      <c r="K187" s="3">
        <v>45441</v>
      </c>
      <c r="L187" t="s">
        <v>28</v>
      </c>
      <c r="M187" t="s">
        <v>1398</v>
      </c>
      <c r="N187" t="s">
        <v>98</v>
      </c>
      <c r="O187" s="2">
        <f t="shared" si="4"/>
        <v>40000</v>
      </c>
      <c r="P187" s="2">
        <f t="shared" si="5"/>
        <v>480000</v>
      </c>
      <c r="Q187" s="13" t="s">
        <v>1163</v>
      </c>
      <c r="R187" s="9" t="s">
        <v>1332</v>
      </c>
      <c r="S187" s="3">
        <v>37440</v>
      </c>
    </row>
    <row r="188" spans="1:19" ht="27.6">
      <c r="A188" t="s">
        <v>1399</v>
      </c>
      <c r="B188" t="s">
        <v>1400</v>
      </c>
      <c r="C188" t="s">
        <v>1193</v>
      </c>
      <c r="D188" t="s">
        <v>22</v>
      </c>
      <c r="E188" t="s">
        <v>1401</v>
      </c>
      <c r="F188" t="s">
        <v>1402</v>
      </c>
      <c r="G188" t="s">
        <v>1403</v>
      </c>
      <c r="H188" t="s">
        <v>1321</v>
      </c>
      <c r="I188" t="s">
        <v>1330</v>
      </c>
      <c r="J188" s="2">
        <v>40000</v>
      </c>
      <c r="K188" s="3">
        <v>45450</v>
      </c>
      <c r="L188" t="s">
        <v>28</v>
      </c>
      <c r="M188" t="s">
        <v>1404</v>
      </c>
      <c r="N188" t="s">
        <v>52</v>
      </c>
      <c r="O188" s="2">
        <f t="shared" si="4"/>
        <v>40000</v>
      </c>
      <c r="P188" s="2">
        <f t="shared" si="5"/>
        <v>480000</v>
      </c>
      <c r="Q188" s="13" t="s">
        <v>182</v>
      </c>
      <c r="R188" s="9" t="s">
        <v>991</v>
      </c>
      <c r="S188" s="3">
        <v>29569</v>
      </c>
    </row>
    <row r="189" spans="1:19">
      <c r="A189" t="s">
        <v>1405</v>
      </c>
      <c r="B189" t="s">
        <v>1406</v>
      </c>
      <c r="C189" t="s">
        <v>1407</v>
      </c>
      <c r="D189" t="s">
        <v>22</v>
      </c>
      <c r="E189" t="s">
        <v>1408</v>
      </c>
      <c r="F189" t="s">
        <v>1409</v>
      </c>
      <c r="G189" t="s">
        <v>1410</v>
      </c>
      <c r="H189" t="s">
        <v>1321</v>
      </c>
      <c r="I189" t="s">
        <v>1339</v>
      </c>
      <c r="J189" s="2">
        <v>57000</v>
      </c>
      <c r="K189" s="3">
        <v>45459</v>
      </c>
      <c r="L189" t="s">
        <v>28</v>
      </c>
      <c r="M189" t="s">
        <v>1411</v>
      </c>
      <c r="N189" t="s">
        <v>106</v>
      </c>
      <c r="O189" s="2">
        <f t="shared" si="4"/>
        <v>57000</v>
      </c>
      <c r="P189" s="2">
        <f t="shared" si="5"/>
        <v>684000</v>
      </c>
      <c r="Q189" s="13" t="s">
        <v>122</v>
      </c>
      <c r="R189" s="9" t="s">
        <v>54</v>
      </c>
      <c r="S189" s="3">
        <v>31922</v>
      </c>
    </row>
    <row r="190" spans="1:19" ht="27.6">
      <c r="A190" t="s">
        <v>1412</v>
      </c>
      <c r="B190" t="s">
        <v>1413</v>
      </c>
      <c r="C190" t="s">
        <v>1414</v>
      </c>
      <c r="D190" t="s">
        <v>22</v>
      </c>
      <c r="E190" t="s">
        <v>1415</v>
      </c>
      <c r="F190" t="s">
        <v>1416</v>
      </c>
      <c r="G190" t="s">
        <v>1417</v>
      </c>
      <c r="H190" t="s">
        <v>1321</v>
      </c>
      <c r="I190" t="s">
        <v>1347</v>
      </c>
      <c r="J190" s="2">
        <v>58000</v>
      </c>
      <c r="K190" s="3">
        <v>45468</v>
      </c>
      <c r="L190" t="s">
        <v>28</v>
      </c>
      <c r="M190" t="s">
        <v>1418</v>
      </c>
      <c r="N190" t="s">
        <v>106</v>
      </c>
      <c r="O190" s="2">
        <f t="shared" si="4"/>
        <v>58000</v>
      </c>
      <c r="P190" s="2">
        <f t="shared" si="5"/>
        <v>696000</v>
      </c>
      <c r="Q190" s="13" t="s">
        <v>608</v>
      </c>
      <c r="R190" s="9" t="s">
        <v>1332</v>
      </c>
      <c r="S190" s="3">
        <v>34615</v>
      </c>
    </row>
    <row r="191" spans="1:19">
      <c r="A191" t="s">
        <v>1419</v>
      </c>
      <c r="B191" t="s">
        <v>1420</v>
      </c>
      <c r="C191" t="s">
        <v>1421</v>
      </c>
      <c r="D191" t="s">
        <v>22</v>
      </c>
      <c r="E191" t="s">
        <v>1422</v>
      </c>
      <c r="F191" t="s">
        <v>1423</v>
      </c>
      <c r="G191" t="s">
        <v>1424</v>
      </c>
      <c r="H191" t="s">
        <v>1321</v>
      </c>
      <c r="I191" t="s">
        <v>1355</v>
      </c>
      <c r="J191" s="2">
        <v>51000</v>
      </c>
      <c r="K191" s="3">
        <v>45477</v>
      </c>
      <c r="L191" t="s">
        <v>28</v>
      </c>
      <c r="M191" t="s">
        <v>1425</v>
      </c>
      <c r="N191" t="s">
        <v>204</v>
      </c>
      <c r="O191" s="2">
        <f t="shared" si="4"/>
        <v>51000</v>
      </c>
      <c r="P191" s="2">
        <f t="shared" si="5"/>
        <v>612000</v>
      </c>
      <c r="Q191" s="13" t="s">
        <v>90</v>
      </c>
      <c r="R191" s="9" t="s">
        <v>991</v>
      </c>
      <c r="S191" s="3">
        <v>36969</v>
      </c>
    </row>
    <row r="192" spans="1:19" ht="27.6">
      <c r="A192" t="s">
        <v>1426</v>
      </c>
      <c r="B192" t="s">
        <v>1427</v>
      </c>
      <c r="C192" t="s">
        <v>1428</v>
      </c>
      <c r="D192" t="s">
        <v>22</v>
      </c>
      <c r="E192" t="s">
        <v>1429</v>
      </c>
      <c r="F192" t="s">
        <v>1430</v>
      </c>
      <c r="G192" t="s">
        <v>1431</v>
      </c>
      <c r="H192" t="s">
        <v>1321</v>
      </c>
      <c r="I192" t="s">
        <v>1322</v>
      </c>
      <c r="J192" s="2">
        <v>39000</v>
      </c>
      <c r="K192" s="3">
        <v>45486</v>
      </c>
      <c r="L192" t="s">
        <v>28</v>
      </c>
      <c r="M192" t="s">
        <v>1432</v>
      </c>
      <c r="N192" t="s">
        <v>73</v>
      </c>
      <c r="O192" s="2">
        <f t="shared" si="4"/>
        <v>39000</v>
      </c>
      <c r="P192" s="2">
        <f t="shared" si="5"/>
        <v>468000</v>
      </c>
      <c r="Q192" s="13" t="s">
        <v>182</v>
      </c>
      <c r="R192" s="9" t="s">
        <v>54</v>
      </c>
      <c r="S192" s="3">
        <v>29069</v>
      </c>
    </row>
    <row r="193" spans="1:19">
      <c r="A193" t="s">
        <v>1433</v>
      </c>
      <c r="B193" t="s">
        <v>1434</v>
      </c>
      <c r="C193" t="s">
        <v>1435</v>
      </c>
      <c r="D193" t="s">
        <v>22</v>
      </c>
      <c r="E193" t="s">
        <v>1436</v>
      </c>
      <c r="F193" t="s">
        <v>1437</v>
      </c>
      <c r="G193" t="s">
        <v>1438</v>
      </c>
      <c r="H193" t="s">
        <v>1321</v>
      </c>
      <c r="I193" t="s">
        <v>1330</v>
      </c>
      <c r="J193" s="2">
        <v>32000</v>
      </c>
      <c r="K193" s="3">
        <v>45495</v>
      </c>
      <c r="L193" t="s">
        <v>28</v>
      </c>
      <c r="M193" t="s">
        <v>1439</v>
      </c>
      <c r="N193" t="s">
        <v>73</v>
      </c>
      <c r="O193" s="2">
        <f t="shared" si="4"/>
        <v>32000</v>
      </c>
      <c r="P193" s="2">
        <f t="shared" si="5"/>
        <v>384000</v>
      </c>
      <c r="Q193" s="13" t="s">
        <v>981</v>
      </c>
      <c r="R193" s="9" t="s">
        <v>1332</v>
      </c>
      <c r="S193" s="3">
        <v>31425</v>
      </c>
    </row>
    <row r="194" spans="1:19">
      <c r="A194" t="s">
        <v>1440</v>
      </c>
      <c r="B194" t="s">
        <v>1441</v>
      </c>
      <c r="C194" t="s">
        <v>1442</v>
      </c>
      <c r="D194" t="s">
        <v>22</v>
      </c>
      <c r="E194" t="s">
        <v>1443</v>
      </c>
      <c r="F194" t="s">
        <v>1444</v>
      </c>
      <c r="G194" t="s">
        <v>1445</v>
      </c>
      <c r="H194" t="s">
        <v>1321</v>
      </c>
      <c r="I194" t="s">
        <v>1339</v>
      </c>
      <c r="J194" s="2">
        <v>65000</v>
      </c>
      <c r="K194" s="3">
        <v>45504</v>
      </c>
      <c r="L194" t="s">
        <v>28</v>
      </c>
      <c r="M194" t="s">
        <v>1446</v>
      </c>
      <c r="N194" t="s">
        <v>41</v>
      </c>
      <c r="O194" s="2">
        <f t="shared" ref="O194:O257" si="6">J194</f>
        <v>65000</v>
      </c>
      <c r="P194" s="2">
        <f t="shared" ref="P194:P257" si="7">J194*12</f>
        <v>780000</v>
      </c>
      <c r="Q194" s="13" t="s">
        <v>152</v>
      </c>
      <c r="R194" s="9" t="s">
        <v>991</v>
      </c>
      <c r="S194" s="3">
        <v>34144</v>
      </c>
    </row>
    <row r="195" spans="1:19">
      <c r="A195" t="s">
        <v>1447</v>
      </c>
      <c r="B195" t="s">
        <v>612</v>
      </c>
      <c r="C195" t="s">
        <v>1448</v>
      </c>
      <c r="D195" t="s">
        <v>22</v>
      </c>
      <c r="E195" t="s">
        <v>1449</v>
      </c>
      <c r="F195" t="s">
        <v>1450</v>
      </c>
      <c r="G195" t="s">
        <v>1451</v>
      </c>
      <c r="H195" t="s">
        <v>1321</v>
      </c>
      <c r="I195" t="s">
        <v>1347</v>
      </c>
      <c r="J195" s="2">
        <v>49000</v>
      </c>
      <c r="K195" s="3">
        <v>45513</v>
      </c>
      <c r="L195" t="s">
        <v>28</v>
      </c>
      <c r="M195" t="s">
        <v>1452</v>
      </c>
      <c r="N195" t="s">
        <v>82</v>
      </c>
      <c r="O195" s="2">
        <f t="shared" si="6"/>
        <v>49000</v>
      </c>
      <c r="P195" s="2">
        <f t="shared" si="7"/>
        <v>588000</v>
      </c>
      <c r="Q195" s="13" t="s">
        <v>90</v>
      </c>
      <c r="R195" s="9" t="s">
        <v>54</v>
      </c>
      <c r="S195" s="3">
        <v>36837</v>
      </c>
    </row>
    <row r="196" spans="1:19">
      <c r="A196" t="s">
        <v>1453</v>
      </c>
      <c r="B196" t="s">
        <v>1454</v>
      </c>
      <c r="C196" t="s">
        <v>1455</v>
      </c>
      <c r="D196" t="s">
        <v>22</v>
      </c>
      <c r="E196" t="s">
        <v>1456</v>
      </c>
      <c r="F196" t="s">
        <v>1457</v>
      </c>
      <c r="G196" t="s">
        <v>1458</v>
      </c>
      <c r="H196" t="s">
        <v>1321</v>
      </c>
      <c r="I196" t="s">
        <v>1355</v>
      </c>
      <c r="J196" s="2">
        <v>34000</v>
      </c>
      <c r="K196" s="3">
        <v>45522</v>
      </c>
      <c r="L196" t="s">
        <v>28</v>
      </c>
      <c r="M196" t="s">
        <v>1459</v>
      </c>
      <c r="N196" t="s">
        <v>82</v>
      </c>
      <c r="O196" s="2">
        <f t="shared" si="6"/>
        <v>34000</v>
      </c>
      <c r="P196" s="2">
        <f t="shared" si="7"/>
        <v>408000</v>
      </c>
      <c r="Q196" s="13" t="s">
        <v>627</v>
      </c>
      <c r="R196" s="9" t="s">
        <v>1332</v>
      </c>
      <c r="S196" s="3">
        <v>28598</v>
      </c>
    </row>
    <row r="197" spans="1:19">
      <c r="A197" t="s">
        <v>1460</v>
      </c>
      <c r="B197" t="s">
        <v>1461</v>
      </c>
      <c r="C197" t="s">
        <v>1462</v>
      </c>
      <c r="D197" t="s">
        <v>22</v>
      </c>
      <c r="E197" t="s">
        <v>1463</v>
      </c>
      <c r="F197" t="s">
        <v>1464</v>
      </c>
      <c r="G197" t="s">
        <v>1465</v>
      </c>
      <c r="H197" t="s">
        <v>1321</v>
      </c>
      <c r="I197" t="s">
        <v>1322</v>
      </c>
      <c r="J197" s="2">
        <v>54000</v>
      </c>
      <c r="K197" s="3">
        <v>45531</v>
      </c>
      <c r="L197" t="s">
        <v>28</v>
      </c>
      <c r="M197" t="s">
        <v>1466</v>
      </c>
      <c r="N197" t="s">
        <v>106</v>
      </c>
      <c r="O197" s="2">
        <f t="shared" si="6"/>
        <v>54000</v>
      </c>
      <c r="P197" s="2">
        <f t="shared" si="7"/>
        <v>648000</v>
      </c>
      <c r="Q197" s="13" t="s">
        <v>53</v>
      </c>
      <c r="R197" s="9" t="s">
        <v>991</v>
      </c>
      <c r="S197" s="3">
        <v>31291</v>
      </c>
    </row>
    <row r="198" spans="1:19">
      <c r="A198" t="s">
        <v>1467</v>
      </c>
      <c r="B198" t="s">
        <v>1468</v>
      </c>
      <c r="C198" t="s">
        <v>1469</v>
      </c>
      <c r="D198" t="s">
        <v>22</v>
      </c>
      <c r="E198" t="s">
        <v>1470</v>
      </c>
      <c r="F198" t="s">
        <v>1471</v>
      </c>
      <c r="G198" t="s">
        <v>1472</v>
      </c>
      <c r="H198" t="s">
        <v>1321</v>
      </c>
      <c r="I198" t="s">
        <v>1330</v>
      </c>
      <c r="J198" s="2">
        <v>43000</v>
      </c>
      <c r="K198" s="3">
        <v>45540</v>
      </c>
      <c r="L198" t="s">
        <v>28</v>
      </c>
      <c r="M198" t="s">
        <v>1473</v>
      </c>
      <c r="N198" t="s">
        <v>106</v>
      </c>
      <c r="O198" s="2">
        <f t="shared" si="6"/>
        <v>43000</v>
      </c>
      <c r="P198" s="2">
        <f t="shared" si="7"/>
        <v>516000</v>
      </c>
      <c r="Q198" s="13" t="s">
        <v>152</v>
      </c>
      <c r="R198" s="9" t="s">
        <v>54</v>
      </c>
      <c r="S198" s="3">
        <v>33646</v>
      </c>
    </row>
    <row r="199" spans="1:19">
      <c r="A199" t="s">
        <v>1474</v>
      </c>
      <c r="B199" t="s">
        <v>1475</v>
      </c>
      <c r="C199" t="s">
        <v>1476</v>
      </c>
      <c r="D199" t="s">
        <v>22</v>
      </c>
      <c r="E199" t="s">
        <v>1477</v>
      </c>
      <c r="F199" t="s">
        <v>1478</v>
      </c>
      <c r="G199" t="s">
        <v>1479</v>
      </c>
      <c r="H199" t="s">
        <v>1321</v>
      </c>
      <c r="I199" t="s">
        <v>1339</v>
      </c>
      <c r="J199" s="2">
        <v>41000</v>
      </c>
      <c r="K199" s="3">
        <v>45549</v>
      </c>
      <c r="L199" t="s">
        <v>28</v>
      </c>
      <c r="M199" t="s">
        <v>1480</v>
      </c>
      <c r="N199" t="s">
        <v>106</v>
      </c>
      <c r="O199" s="2">
        <f t="shared" si="6"/>
        <v>41000</v>
      </c>
      <c r="P199" s="2">
        <f t="shared" si="7"/>
        <v>492000</v>
      </c>
      <c r="Q199" s="13" t="s">
        <v>1163</v>
      </c>
      <c r="R199" s="9" t="s">
        <v>1332</v>
      </c>
      <c r="S199" s="3">
        <v>36364</v>
      </c>
    </row>
    <row r="200" spans="1:19">
      <c r="A200" t="s">
        <v>1481</v>
      </c>
      <c r="B200" t="s">
        <v>1482</v>
      </c>
      <c r="C200" t="s">
        <v>1276</v>
      </c>
      <c r="D200" t="s">
        <v>22</v>
      </c>
      <c r="E200" t="s">
        <v>1483</v>
      </c>
      <c r="F200" t="s">
        <v>1484</v>
      </c>
      <c r="G200" t="s">
        <v>1485</v>
      </c>
      <c r="H200" t="s">
        <v>1321</v>
      </c>
      <c r="I200" t="s">
        <v>1347</v>
      </c>
      <c r="J200" s="2">
        <v>36000</v>
      </c>
      <c r="K200" s="3">
        <v>45558</v>
      </c>
      <c r="L200" t="s">
        <v>218</v>
      </c>
      <c r="M200" t="s">
        <v>1486</v>
      </c>
      <c r="N200" t="s">
        <v>30</v>
      </c>
      <c r="O200" s="2">
        <f t="shared" si="6"/>
        <v>36000</v>
      </c>
      <c r="P200" s="2">
        <f t="shared" si="7"/>
        <v>432000</v>
      </c>
      <c r="Q200" s="13" t="s">
        <v>122</v>
      </c>
      <c r="R200" s="9" t="s">
        <v>991</v>
      </c>
      <c r="S200" s="3">
        <v>28465</v>
      </c>
    </row>
    <row r="201" spans="1:19">
      <c r="A201" t="s">
        <v>1487</v>
      </c>
      <c r="B201" t="s">
        <v>1488</v>
      </c>
      <c r="C201" t="s">
        <v>1489</v>
      </c>
      <c r="D201" t="s">
        <v>22</v>
      </c>
      <c r="E201" t="s">
        <v>1490</v>
      </c>
      <c r="F201" t="s">
        <v>1491</v>
      </c>
      <c r="G201" t="s">
        <v>1492</v>
      </c>
      <c r="H201" t="s">
        <v>1321</v>
      </c>
      <c r="I201" t="s">
        <v>1355</v>
      </c>
      <c r="J201" s="2">
        <v>32000</v>
      </c>
      <c r="K201" s="3">
        <v>45567</v>
      </c>
      <c r="L201" t="s">
        <v>28</v>
      </c>
      <c r="M201" t="s">
        <v>1493</v>
      </c>
      <c r="N201" t="s">
        <v>204</v>
      </c>
      <c r="O201" s="2">
        <f t="shared" si="6"/>
        <v>32000</v>
      </c>
      <c r="P201" s="2">
        <f t="shared" si="7"/>
        <v>384000</v>
      </c>
      <c r="Q201" s="13" t="s">
        <v>53</v>
      </c>
      <c r="R201" s="9" t="s">
        <v>54</v>
      </c>
      <c r="S201" s="3">
        <v>30819</v>
      </c>
    </row>
    <row r="202" spans="1:19">
      <c r="A202" t="s">
        <v>1494</v>
      </c>
      <c r="B202" t="s">
        <v>1495</v>
      </c>
      <c r="C202" t="s">
        <v>1496</v>
      </c>
      <c r="D202" t="s">
        <v>22</v>
      </c>
      <c r="E202" t="s">
        <v>1497</v>
      </c>
      <c r="F202" t="s">
        <v>1498</v>
      </c>
      <c r="G202" t="s">
        <v>1499</v>
      </c>
      <c r="H202" t="s">
        <v>1500</v>
      </c>
      <c r="I202" t="s">
        <v>1501</v>
      </c>
      <c r="J202" s="2">
        <v>53000</v>
      </c>
      <c r="K202" s="3">
        <v>45576</v>
      </c>
      <c r="L202" t="s">
        <v>28</v>
      </c>
      <c r="M202" t="s">
        <v>1502</v>
      </c>
      <c r="N202" t="s">
        <v>82</v>
      </c>
      <c r="O202" s="2">
        <f t="shared" si="6"/>
        <v>53000</v>
      </c>
      <c r="P202" s="2">
        <f t="shared" si="7"/>
        <v>636000</v>
      </c>
      <c r="Q202" s="13" t="s">
        <v>90</v>
      </c>
      <c r="R202" s="9" t="s">
        <v>54</v>
      </c>
      <c r="S202" s="3">
        <v>33539</v>
      </c>
    </row>
    <row r="203" spans="1:19" ht="27.6">
      <c r="A203" t="s">
        <v>1503</v>
      </c>
      <c r="B203" t="s">
        <v>1504</v>
      </c>
      <c r="C203" t="s">
        <v>1505</v>
      </c>
      <c r="D203" t="s">
        <v>22</v>
      </c>
      <c r="E203" t="s">
        <v>1506</v>
      </c>
      <c r="F203" t="s">
        <v>1507</v>
      </c>
      <c r="G203" t="s">
        <v>1508</v>
      </c>
      <c r="H203" t="s">
        <v>1500</v>
      </c>
      <c r="I203" t="s">
        <v>1509</v>
      </c>
      <c r="J203" s="2">
        <v>36000</v>
      </c>
      <c r="K203" s="3">
        <v>45585</v>
      </c>
      <c r="L203" t="s">
        <v>28</v>
      </c>
      <c r="M203" t="s">
        <v>1510</v>
      </c>
      <c r="N203" t="s">
        <v>82</v>
      </c>
      <c r="O203" s="2">
        <f t="shared" si="6"/>
        <v>36000</v>
      </c>
      <c r="P203" s="2">
        <f t="shared" si="7"/>
        <v>432000</v>
      </c>
      <c r="Q203" s="13" t="s">
        <v>167</v>
      </c>
      <c r="R203" s="9" t="s">
        <v>1511</v>
      </c>
      <c r="S203" s="3">
        <v>35865</v>
      </c>
    </row>
    <row r="204" spans="1:19">
      <c r="A204" t="s">
        <v>1512</v>
      </c>
      <c r="B204" t="s">
        <v>1513</v>
      </c>
      <c r="C204" t="s">
        <v>1514</v>
      </c>
      <c r="D204" t="s">
        <v>22</v>
      </c>
      <c r="E204" t="s">
        <v>1515</v>
      </c>
      <c r="F204" t="s">
        <v>1516</v>
      </c>
      <c r="G204" t="s">
        <v>1517</v>
      </c>
      <c r="H204" t="s">
        <v>1500</v>
      </c>
      <c r="I204" t="s">
        <v>1518</v>
      </c>
      <c r="J204" s="2">
        <v>71000</v>
      </c>
      <c r="K204" s="3">
        <v>45594</v>
      </c>
      <c r="L204" t="s">
        <v>28</v>
      </c>
      <c r="M204" t="s">
        <v>1519</v>
      </c>
      <c r="N204" t="s">
        <v>204</v>
      </c>
      <c r="O204" s="2">
        <f t="shared" si="6"/>
        <v>71000</v>
      </c>
      <c r="P204" s="2">
        <f t="shared" si="7"/>
        <v>852000</v>
      </c>
      <c r="Q204" s="13" t="s">
        <v>42</v>
      </c>
      <c r="R204" s="9" t="s">
        <v>43</v>
      </c>
      <c r="S204" s="3">
        <v>27994</v>
      </c>
    </row>
    <row r="205" spans="1:19" ht="27.6">
      <c r="A205" t="s">
        <v>1520</v>
      </c>
      <c r="B205" t="s">
        <v>1521</v>
      </c>
      <c r="C205" t="s">
        <v>1522</v>
      </c>
      <c r="D205" t="s">
        <v>22</v>
      </c>
      <c r="E205" t="s">
        <v>1523</v>
      </c>
      <c r="F205" t="s">
        <v>1524</v>
      </c>
      <c r="G205" t="s">
        <v>1525</v>
      </c>
      <c r="H205" t="s">
        <v>1500</v>
      </c>
      <c r="I205" t="s">
        <v>1526</v>
      </c>
      <c r="J205" s="2">
        <v>42000</v>
      </c>
      <c r="K205" s="3">
        <v>45603</v>
      </c>
      <c r="L205" t="s">
        <v>28</v>
      </c>
      <c r="M205" t="s">
        <v>1527</v>
      </c>
      <c r="N205" t="s">
        <v>52</v>
      </c>
      <c r="O205" s="2">
        <f t="shared" si="6"/>
        <v>42000</v>
      </c>
      <c r="P205" s="2">
        <f t="shared" si="7"/>
        <v>504000</v>
      </c>
      <c r="Q205" s="13" t="s">
        <v>74</v>
      </c>
      <c r="R205" s="9" t="s">
        <v>32</v>
      </c>
      <c r="S205" s="3">
        <v>30321</v>
      </c>
    </row>
    <row r="206" spans="1:19">
      <c r="A206" t="s">
        <v>1528</v>
      </c>
      <c r="B206" t="s">
        <v>1529</v>
      </c>
      <c r="C206" t="s">
        <v>1530</v>
      </c>
      <c r="D206" t="s">
        <v>22</v>
      </c>
      <c r="E206" t="s">
        <v>1531</v>
      </c>
      <c r="F206" t="s">
        <v>1532</v>
      </c>
      <c r="G206" t="s">
        <v>1533</v>
      </c>
      <c r="H206" t="s">
        <v>1500</v>
      </c>
      <c r="I206" t="s">
        <v>1534</v>
      </c>
      <c r="J206" s="2">
        <v>73000</v>
      </c>
      <c r="K206" s="3">
        <v>45612</v>
      </c>
      <c r="L206" t="s">
        <v>28</v>
      </c>
      <c r="M206" t="s">
        <v>1535</v>
      </c>
      <c r="N206" t="s">
        <v>30</v>
      </c>
      <c r="O206" s="2">
        <f t="shared" si="6"/>
        <v>73000</v>
      </c>
      <c r="P206" s="2">
        <f t="shared" si="7"/>
        <v>876000</v>
      </c>
      <c r="Q206" s="13" t="s">
        <v>122</v>
      </c>
      <c r="R206" s="9" t="s">
        <v>54</v>
      </c>
      <c r="S206" s="3">
        <v>33040</v>
      </c>
    </row>
    <row r="207" spans="1:19" ht="27.6">
      <c r="A207" t="s">
        <v>1536</v>
      </c>
      <c r="B207" t="s">
        <v>1537</v>
      </c>
      <c r="C207" t="s">
        <v>1325</v>
      </c>
      <c r="D207" t="s">
        <v>22</v>
      </c>
      <c r="E207" t="s">
        <v>1538</v>
      </c>
      <c r="F207" t="s">
        <v>1539</v>
      </c>
      <c r="G207" t="s">
        <v>1540</v>
      </c>
      <c r="H207" t="s">
        <v>1500</v>
      </c>
      <c r="I207" t="s">
        <v>1501</v>
      </c>
      <c r="J207" s="2">
        <v>58000</v>
      </c>
      <c r="K207" s="3">
        <v>45621</v>
      </c>
      <c r="L207" t="s">
        <v>28</v>
      </c>
      <c r="M207" t="s">
        <v>1541</v>
      </c>
      <c r="N207" t="s">
        <v>30</v>
      </c>
      <c r="O207" s="2">
        <f t="shared" si="6"/>
        <v>58000</v>
      </c>
      <c r="P207" s="2">
        <f t="shared" si="7"/>
        <v>696000</v>
      </c>
      <c r="Q207" s="13" t="s">
        <v>31</v>
      </c>
      <c r="R207" s="9" t="s">
        <v>1511</v>
      </c>
      <c r="S207" s="3">
        <v>35761</v>
      </c>
    </row>
    <row r="208" spans="1:19">
      <c r="A208" t="s">
        <v>1542</v>
      </c>
      <c r="B208" t="s">
        <v>1543</v>
      </c>
      <c r="C208" t="s">
        <v>571</v>
      </c>
      <c r="D208" t="s">
        <v>22</v>
      </c>
      <c r="E208" t="s">
        <v>1544</v>
      </c>
      <c r="F208" t="s">
        <v>1545</v>
      </c>
      <c r="G208" t="s">
        <v>1546</v>
      </c>
      <c r="H208" t="s">
        <v>1500</v>
      </c>
      <c r="I208" t="s">
        <v>1509</v>
      </c>
      <c r="J208" s="2">
        <v>40000</v>
      </c>
      <c r="K208" s="3">
        <v>45630</v>
      </c>
      <c r="L208" t="s">
        <v>28</v>
      </c>
      <c r="M208" t="s">
        <v>1547</v>
      </c>
      <c r="N208" t="s">
        <v>82</v>
      </c>
      <c r="O208" s="2">
        <f t="shared" si="6"/>
        <v>40000</v>
      </c>
      <c r="P208" s="2">
        <f t="shared" si="7"/>
        <v>480000</v>
      </c>
      <c r="Q208" s="13" t="s">
        <v>42</v>
      </c>
      <c r="R208" s="9" t="s">
        <v>43</v>
      </c>
      <c r="S208" s="3">
        <v>38087</v>
      </c>
    </row>
    <row r="209" spans="1:19">
      <c r="A209" t="s">
        <v>1548</v>
      </c>
      <c r="B209" t="s">
        <v>1549</v>
      </c>
      <c r="C209" t="s">
        <v>1550</v>
      </c>
      <c r="D209" t="s">
        <v>22</v>
      </c>
      <c r="E209" t="s">
        <v>1551</v>
      </c>
      <c r="F209" t="s">
        <v>1552</v>
      </c>
      <c r="G209" t="s">
        <v>1553</v>
      </c>
      <c r="H209" t="s">
        <v>1500</v>
      </c>
      <c r="I209" t="s">
        <v>1518</v>
      </c>
      <c r="J209" s="2">
        <v>44000</v>
      </c>
      <c r="K209" s="3">
        <v>45639</v>
      </c>
      <c r="L209" t="s">
        <v>28</v>
      </c>
      <c r="M209" t="s">
        <v>1554</v>
      </c>
      <c r="N209" t="s">
        <v>204</v>
      </c>
      <c r="O209" s="2">
        <f t="shared" si="6"/>
        <v>44000</v>
      </c>
      <c r="P209" s="2">
        <f t="shared" si="7"/>
        <v>528000</v>
      </c>
      <c r="Q209" s="13" t="s">
        <v>107</v>
      </c>
      <c r="R209" s="9" t="s">
        <v>32</v>
      </c>
      <c r="S209" s="3">
        <v>30215</v>
      </c>
    </row>
    <row r="210" spans="1:19">
      <c r="A210" t="s">
        <v>1555</v>
      </c>
      <c r="B210" t="s">
        <v>1556</v>
      </c>
      <c r="C210" t="s">
        <v>1557</v>
      </c>
      <c r="D210" t="s">
        <v>22</v>
      </c>
      <c r="E210" t="s">
        <v>1558</v>
      </c>
      <c r="F210" t="s">
        <v>1559</v>
      </c>
      <c r="G210" t="s">
        <v>1560</v>
      </c>
      <c r="H210" t="s">
        <v>1500</v>
      </c>
      <c r="I210" t="s">
        <v>1526</v>
      </c>
      <c r="J210" s="2">
        <v>58000</v>
      </c>
      <c r="K210" s="3">
        <v>45648</v>
      </c>
      <c r="L210" t="s">
        <v>28</v>
      </c>
      <c r="M210" t="s">
        <v>1561</v>
      </c>
      <c r="N210" t="s">
        <v>82</v>
      </c>
      <c r="O210" s="2">
        <f t="shared" si="6"/>
        <v>58000</v>
      </c>
      <c r="P210" s="2">
        <f t="shared" si="7"/>
        <v>696000</v>
      </c>
      <c r="Q210" s="13" t="s">
        <v>152</v>
      </c>
      <c r="R210" s="9" t="s">
        <v>54</v>
      </c>
      <c r="S210" s="3">
        <v>32543</v>
      </c>
    </row>
    <row r="211" spans="1:19" ht="27.6">
      <c r="A211" t="s">
        <v>1562</v>
      </c>
      <c r="B211" t="s">
        <v>1563</v>
      </c>
      <c r="C211" t="s">
        <v>1564</v>
      </c>
      <c r="D211" t="s">
        <v>22</v>
      </c>
      <c r="E211" t="s">
        <v>1565</v>
      </c>
      <c r="F211" t="s">
        <v>1566</v>
      </c>
      <c r="G211" t="s">
        <v>1567</v>
      </c>
      <c r="H211" t="s">
        <v>1500</v>
      </c>
      <c r="I211" t="s">
        <v>1534</v>
      </c>
      <c r="J211" s="2">
        <v>54000</v>
      </c>
      <c r="K211" s="3">
        <v>45657</v>
      </c>
      <c r="L211" t="s">
        <v>28</v>
      </c>
      <c r="M211" t="s">
        <v>1568</v>
      </c>
      <c r="N211" t="s">
        <v>106</v>
      </c>
      <c r="O211" s="2">
        <f t="shared" si="6"/>
        <v>54000</v>
      </c>
      <c r="P211" s="2">
        <f t="shared" si="7"/>
        <v>648000</v>
      </c>
      <c r="Q211" s="13" t="s">
        <v>74</v>
      </c>
      <c r="R211" s="9" t="s">
        <v>1511</v>
      </c>
      <c r="S211" s="3">
        <v>35261</v>
      </c>
    </row>
    <row r="212" spans="1:19">
      <c r="A212" t="s">
        <v>1569</v>
      </c>
      <c r="B212" t="s">
        <v>1570</v>
      </c>
      <c r="C212" t="s">
        <v>1571</v>
      </c>
      <c r="D212" t="s">
        <v>22</v>
      </c>
      <c r="E212" t="s">
        <v>1572</v>
      </c>
      <c r="F212" t="s">
        <v>1573</v>
      </c>
      <c r="G212" t="s">
        <v>1574</v>
      </c>
      <c r="H212" t="s">
        <v>1500</v>
      </c>
      <c r="I212" t="s">
        <v>1501</v>
      </c>
      <c r="J212" s="2">
        <v>45000</v>
      </c>
      <c r="K212" s="3">
        <v>45666</v>
      </c>
      <c r="L212" t="s">
        <v>28</v>
      </c>
      <c r="M212" t="s">
        <v>1575</v>
      </c>
      <c r="N212" t="s">
        <v>82</v>
      </c>
      <c r="O212" s="2">
        <f t="shared" si="6"/>
        <v>45000</v>
      </c>
      <c r="P212" s="2">
        <f t="shared" si="7"/>
        <v>540000</v>
      </c>
      <c r="Q212" s="13" t="s">
        <v>42</v>
      </c>
      <c r="R212" s="9" t="s">
        <v>43</v>
      </c>
      <c r="S212" s="3">
        <v>37981</v>
      </c>
    </row>
    <row r="213" spans="1:19">
      <c r="A213" t="s">
        <v>1576</v>
      </c>
      <c r="B213" t="s">
        <v>1577</v>
      </c>
      <c r="C213" t="s">
        <v>1578</v>
      </c>
      <c r="D213" t="s">
        <v>22</v>
      </c>
      <c r="E213" t="s">
        <v>1579</v>
      </c>
      <c r="F213" t="s">
        <v>1580</v>
      </c>
      <c r="G213" t="s">
        <v>1581</v>
      </c>
      <c r="H213" t="s">
        <v>1500</v>
      </c>
      <c r="I213" t="s">
        <v>1509</v>
      </c>
      <c r="J213" s="2">
        <v>64000</v>
      </c>
      <c r="K213" s="3">
        <v>45675</v>
      </c>
      <c r="L213" t="s">
        <v>28</v>
      </c>
      <c r="M213" t="s">
        <v>1582</v>
      </c>
      <c r="N213" t="s">
        <v>82</v>
      </c>
      <c r="O213" s="2">
        <f t="shared" si="6"/>
        <v>64000</v>
      </c>
      <c r="P213" s="2">
        <f t="shared" si="7"/>
        <v>768000</v>
      </c>
      <c r="Q213" s="13" t="s">
        <v>137</v>
      </c>
      <c r="R213" s="9" t="s">
        <v>32</v>
      </c>
      <c r="S213" s="3">
        <v>29715</v>
      </c>
    </row>
    <row r="214" spans="1:19" ht="27.6">
      <c r="A214" t="s">
        <v>1583</v>
      </c>
      <c r="B214" t="s">
        <v>1584</v>
      </c>
      <c r="C214" t="s">
        <v>1585</v>
      </c>
      <c r="D214" t="s">
        <v>22</v>
      </c>
      <c r="E214" t="s">
        <v>1586</v>
      </c>
      <c r="F214" t="s">
        <v>1587</v>
      </c>
      <c r="G214" t="s">
        <v>1588</v>
      </c>
      <c r="H214" t="s">
        <v>1500</v>
      </c>
      <c r="I214" t="s">
        <v>1518</v>
      </c>
      <c r="J214" s="2">
        <v>85000</v>
      </c>
      <c r="K214" s="3">
        <v>45684</v>
      </c>
      <c r="L214" t="s">
        <v>28</v>
      </c>
      <c r="M214" t="s">
        <v>1589</v>
      </c>
      <c r="N214" t="s">
        <v>73</v>
      </c>
      <c r="O214" s="2">
        <f t="shared" si="6"/>
        <v>85000</v>
      </c>
      <c r="P214" s="2">
        <f t="shared" si="7"/>
        <v>1020000</v>
      </c>
      <c r="Q214" s="13" t="s">
        <v>182</v>
      </c>
      <c r="R214" s="9" t="s">
        <v>54</v>
      </c>
      <c r="S214" s="3">
        <v>32436</v>
      </c>
    </row>
    <row r="215" spans="1:19">
      <c r="A215" t="s">
        <v>1590</v>
      </c>
      <c r="B215" t="s">
        <v>1591</v>
      </c>
      <c r="C215" t="s">
        <v>1592</v>
      </c>
      <c r="D215" t="s">
        <v>22</v>
      </c>
      <c r="E215" t="s">
        <v>1593</v>
      </c>
      <c r="F215" t="s">
        <v>1594</v>
      </c>
      <c r="G215" t="s">
        <v>1595</v>
      </c>
      <c r="H215" t="s">
        <v>1500</v>
      </c>
      <c r="I215" t="s">
        <v>1526</v>
      </c>
      <c r="J215" s="2">
        <v>45000</v>
      </c>
      <c r="K215" s="3">
        <v>45693</v>
      </c>
      <c r="L215" t="s">
        <v>28</v>
      </c>
      <c r="M215" t="s">
        <v>1596</v>
      </c>
      <c r="N215" t="s">
        <v>52</v>
      </c>
      <c r="O215" s="2">
        <f t="shared" si="6"/>
        <v>45000</v>
      </c>
      <c r="P215" s="2">
        <f t="shared" si="7"/>
        <v>540000</v>
      </c>
      <c r="Q215" s="13" t="s">
        <v>107</v>
      </c>
      <c r="R215" s="9" t="s">
        <v>1511</v>
      </c>
      <c r="S215" s="3">
        <v>34761</v>
      </c>
    </row>
    <row r="216" spans="1:19">
      <c r="A216" t="s">
        <v>1597</v>
      </c>
      <c r="B216" t="s">
        <v>1598</v>
      </c>
      <c r="C216" t="s">
        <v>1599</v>
      </c>
      <c r="D216" t="s">
        <v>22</v>
      </c>
      <c r="E216" t="s">
        <v>1600</v>
      </c>
      <c r="F216" t="s">
        <v>1601</v>
      </c>
      <c r="G216" t="s">
        <v>1602</v>
      </c>
      <c r="H216" t="s">
        <v>1500</v>
      </c>
      <c r="I216" t="s">
        <v>1534</v>
      </c>
      <c r="J216" s="2">
        <v>62000</v>
      </c>
      <c r="K216" s="3">
        <v>45702</v>
      </c>
      <c r="L216" t="s">
        <v>28</v>
      </c>
      <c r="M216" t="s">
        <v>1603</v>
      </c>
      <c r="N216" t="s">
        <v>82</v>
      </c>
      <c r="O216" s="2">
        <f t="shared" si="6"/>
        <v>62000</v>
      </c>
      <c r="P216" s="2">
        <f t="shared" si="7"/>
        <v>744000</v>
      </c>
      <c r="Q216" s="13" t="s">
        <v>42</v>
      </c>
      <c r="R216" s="9" t="s">
        <v>43</v>
      </c>
      <c r="S216" s="3">
        <v>37482</v>
      </c>
    </row>
    <row r="217" spans="1:19" ht="27.6">
      <c r="A217" t="s">
        <v>1604</v>
      </c>
      <c r="B217" t="s">
        <v>1605</v>
      </c>
      <c r="C217" t="s">
        <v>1606</v>
      </c>
      <c r="D217" t="s">
        <v>22</v>
      </c>
      <c r="E217" t="s">
        <v>1607</v>
      </c>
      <c r="F217" t="s">
        <v>1608</v>
      </c>
      <c r="G217" t="s">
        <v>1609</v>
      </c>
      <c r="H217" t="s">
        <v>1500</v>
      </c>
      <c r="I217" t="s">
        <v>1501</v>
      </c>
      <c r="J217" s="2">
        <v>57000</v>
      </c>
      <c r="K217" s="3">
        <v>45711</v>
      </c>
      <c r="L217" t="s">
        <v>28</v>
      </c>
      <c r="M217" t="s">
        <v>1610</v>
      </c>
      <c r="N217" t="s">
        <v>98</v>
      </c>
      <c r="O217" s="2">
        <f t="shared" si="6"/>
        <v>57000</v>
      </c>
      <c r="P217" s="2">
        <f t="shared" si="7"/>
        <v>684000</v>
      </c>
      <c r="Q217" s="13" t="s">
        <v>167</v>
      </c>
      <c r="R217" s="9" t="s">
        <v>32</v>
      </c>
      <c r="S217" s="3">
        <v>29245</v>
      </c>
    </row>
    <row r="218" spans="1:19">
      <c r="A218" t="s">
        <v>1611</v>
      </c>
      <c r="B218" t="s">
        <v>1612</v>
      </c>
      <c r="C218" t="s">
        <v>1613</v>
      </c>
      <c r="D218" t="s">
        <v>22</v>
      </c>
      <c r="E218" t="s">
        <v>1614</v>
      </c>
      <c r="F218" t="s">
        <v>1615</v>
      </c>
      <c r="G218" t="s">
        <v>1616</v>
      </c>
      <c r="H218" t="s">
        <v>1500</v>
      </c>
      <c r="I218" t="s">
        <v>1509</v>
      </c>
      <c r="J218" s="2">
        <v>74000</v>
      </c>
      <c r="K218" s="3">
        <v>45720</v>
      </c>
      <c r="L218" t="s">
        <v>28</v>
      </c>
      <c r="M218" t="s">
        <v>1617</v>
      </c>
      <c r="N218" t="s">
        <v>41</v>
      </c>
      <c r="O218" s="2">
        <f t="shared" si="6"/>
        <v>74000</v>
      </c>
      <c r="P218" s="2">
        <f t="shared" si="7"/>
        <v>888000</v>
      </c>
      <c r="Q218" s="13" t="s">
        <v>53</v>
      </c>
      <c r="R218" s="9" t="s">
        <v>54</v>
      </c>
      <c r="S218" s="3">
        <v>31936</v>
      </c>
    </row>
    <row r="219" spans="1:19">
      <c r="A219" t="s">
        <v>1618</v>
      </c>
      <c r="B219" t="s">
        <v>1619</v>
      </c>
      <c r="C219" t="s">
        <v>1413</v>
      </c>
      <c r="D219" t="s">
        <v>22</v>
      </c>
      <c r="E219" t="s">
        <v>1620</v>
      </c>
      <c r="F219" t="s">
        <v>1621</v>
      </c>
      <c r="G219" t="s">
        <v>1622</v>
      </c>
      <c r="H219" t="s">
        <v>1500</v>
      </c>
      <c r="I219" t="s">
        <v>1518</v>
      </c>
      <c r="J219" s="2">
        <v>65000</v>
      </c>
      <c r="K219" s="3">
        <v>45729</v>
      </c>
      <c r="L219" t="s">
        <v>28</v>
      </c>
      <c r="M219" t="s">
        <v>1623</v>
      </c>
      <c r="N219" t="s">
        <v>98</v>
      </c>
      <c r="O219" s="2">
        <f t="shared" si="6"/>
        <v>65000</v>
      </c>
      <c r="P219" s="2">
        <f t="shared" si="7"/>
        <v>780000</v>
      </c>
      <c r="Q219" s="13" t="s">
        <v>137</v>
      </c>
      <c r="R219" s="9" t="s">
        <v>1511</v>
      </c>
      <c r="S219" s="3">
        <v>34657</v>
      </c>
    </row>
    <row r="220" spans="1:19">
      <c r="A220" t="s">
        <v>1624</v>
      </c>
      <c r="B220" t="s">
        <v>1625</v>
      </c>
      <c r="C220" t="s">
        <v>1626</v>
      </c>
      <c r="D220" t="s">
        <v>22</v>
      </c>
      <c r="E220" t="s">
        <v>1627</v>
      </c>
      <c r="F220" t="s">
        <v>1628</v>
      </c>
      <c r="G220" t="s">
        <v>1629</v>
      </c>
      <c r="H220" t="s">
        <v>1500</v>
      </c>
      <c r="I220" t="s">
        <v>1526</v>
      </c>
      <c r="J220" s="2">
        <v>40000</v>
      </c>
      <c r="K220" s="3">
        <v>45738</v>
      </c>
      <c r="L220" t="s">
        <v>28</v>
      </c>
      <c r="M220" t="s">
        <v>1630</v>
      </c>
      <c r="N220" t="s">
        <v>73</v>
      </c>
      <c r="O220" s="2">
        <f t="shared" si="6"/>
        <v>40000</v>
      </c>
      <c r="P220" s="2">
        <f t="shared" si="7"/>
        <v>480000</v>
      </c>
      <c r="Q220" s="13" t="s">
        <v>42</v>
      </c>
      <c r="R220" s="9" t="s">
        <v>43</v>
      </c>
      <c r="S220" s="3">
        <v>36983</v>
      </c>
    </row>
    <row r="221" spans="1:19" ht="27.6">
      <c r="A221" t="s">
        <v>1631</v>
      </c>
      <c r="B221" t="s">
        <v>1632</v>
      </c>
      <c r="C221" t="s">
        <v>1633</v>
      </c>
      <c r="D221" t="s">
        <v>22</v>
      </c>
      <c r="E221" t="s">
        <v>1634</v>
      </c>
      <c r="F221" t="s">
        <v>1635</v>
      </c>
      <c r="G221" t="s">
        <v>1636</v>
      </c>
      <c r="H221" t="s">
        <v>1500</v>
      </c>
      <c r="I221" t="s">
        <v>1534</v>
      </c>
      <c r="J221" s="2">
        <v>42000</v>
      </c>
      <c r="K221" s="3">
        <v>45747</v>
      </c>
      <c r="L221" t="s">
        <v>28</v>
      </c>
      <c r="M221" t="s">
        <v>1637</v>
      </c>
      <c r="N221" t="s">
        <v>52</v>
      </c>
      <c r="O221" s="2">
        <f t="shared" si="6"/>
        <v>42000</v>
      </c>
      <c r="P221" s="2">
        <f t="shared" si="7"/>
        <v>504000</v>
      </c>
      <c r="Q221" s="13" t="s">
        <v>31</v>
      </c>
      <c r="R221" s="9" t="s">
        <v>32</v>
      </c>
      <c r="S221" s="3">
        <v>29111</v>
      </c>
    </row>
    <row r="222" spans="1:19">
      <c r="A222" t="s">
        <v>1638</v>
      </c>
      <c r="B222" t="s">
        <v>1639</v>
      </c>
      <c r="C222" t="s">
        <v>1640</v>
      </c>
      <c r="D222" t="s">
        <v>22</v>
      </c>
      <c r="E222" t="s">
        <v>1641</v>
      </c>
      <c r="F222" t="s">
        <v>1642</v>
      </c>
      <c r="G222" t="s">
        <v>1643</v>
      </c>
      <c r="H222" t="s">
        <v>1500</v>
      </c>
      <c r="I222" t="s">
        <v>1501</v>
      </c>
      <c r="J222" s="2">
        <v>68000</v>
      </c>
      <c r="K222" s="3">
        <v>45756</v>
      </c>
      <c r="L222" t="s">
        <v>28</v>
      </c>
      <c r="M222" t="s">
        <v>1644</v>
      </c>
      <c r="N222" t="s">
        <v>30</v>
      </c>
      <c r="O222" s="2">
        <f t="shared" si="6"/>
        <v>68000</v>
      </c>
      <c r="P222" s="2">
        <f t="shared" si="7"/>
        <v>816000</v>
      </c>
      <c r="Q222" s="13" t="s">
        <v>90</v>
      </c>
      <c r="R222" s="9" t="s">
        <v>54</v>
      </c>
      <c r="S222" s="3">
        <v>31467</v>
      </c>
    </row>
    <row r="223" spans="1:19" ht="27.6">
      <c r="A223" t="s">
        <v>1645</v>
      </c>
      <c r="B223" t="s">
        <v>1646</v>
      </c>
      <c r="C223" t="s">
        <v>1647</v>
      </c>
      <c r="D223" t="s">
        <v>22</v>
      </c>
      <c r="E223" t="s">
        <v>1648</v>
      </c>
      <c r="F223" t="s">
        <v>1649</v>
      </c>
      <c r="G223" t="s">
        <v>1650</v>
      </c>
      <c r="H223" t="s">
        <v>1500</v>
      </c>
      <c r="I223" t="s">
        <v>1509</v>
      </c>
      <c r="J223" s="2">
        <v>79000</v>
      </c>
      <c r="K223" s="3">
        <v>45765</v>
      </c>
      <c r="L223" t="s">
        <v>28</v>
      </c>
      <c r="M223" t="s">
        <v>1651</v>
      </c>
      <c r="N223" t="s">
        <v>106</v>
      </c>
      <c r="O223" s="2">
        <f t="shared" si="6"/>
        <v>79000</v>
      </c>
      <c r="P223" s="2">
        <f t="shared" si="7"/>
        <v>948000</v>
      </c>
      <c r="Q223" s="13" t="s">
        <v>167</v>
      </c>
      <c r="R223" s="9" t="s">
        <v>1511</v>
      </c>
      <c r="S223" s="3">
        <v>34157</v>
      </c>
    </row>
    <row r="224" spans="1:19">
      <c r="A224" t="s">
        <v>1652</v>
      </c>
      <c r="B224" t="s">
        <v>1653</v>
      </c>
      <c r="C224" t="s">
        <v>1654</v>
      </c>
      <c r="D224" t="s">
        <v>22</v>
      </c>
      <c r="E224" t="s">
        <v>1655</v>
      </c>
      <c r="F224" t="s">
        <v>1656</v>
      </c>
      <c r="G224" t="s">
        <v>1657</v>
      </c>
      <c r="H224" t="s">
        <v>1500</v>
      </c>
      <c r="I224" t="s">
        <v>1518</v>
      </c>
      <c r="J224" s="2">
        <v>59000</v>
      </c>
      <c r="K224" s="3">
        <v>45774</v>
      </c>
      <c r="L224" t="s">
        <v>218</v>
      </c>
      <c r="M224" t="s">
        <v>1658</v>
      </c>
      <c r="N224" t="s">
        <v>52</v>
      </c>
      <c r="O224" s="2">
        <f t="shared" si="6"/>
        <v>59000</v>
      </c>
      <c r="P224" s="2">
        <f t="shared" si="7"/>
        <v>708000</v>
      </c>
      <c r="Q224" s="13" t="s">
        <v>42</v>
      </c>
      <c r="R224" s="9" t="s">
        <v>43</v>
      </c>
      <c r="S224" s="3">
        <v>36878</v>
      </c>
    </row>
    <row r="225" spans="1:19" ht="27.6">
      <c r="A225" t="s">
        <v>1659</v>
      </c>
      <c r="B225" t="s">
        <v>1660</v>
      </c>
      <c r="C225" t="s">
        <v>1661</v>
      </c>
      <c r="D225" t="s">
        <v>22</v>
      </c>
      <c r="E225" t="s">
        <v>1662</v>
      </c>
      <c r="F225" t="s">
        <v>1663</v>
      </c>
      <c r="G225" t="s">
        <v>1664</v>
      </c>
      <c r="H225" t="s">
        <v>1500</v>
      </c>
      <c r="I225" t="s">
        <v>1526</v>
      </c>
      <c r="J225" s="2">
        <v>49000</v>
      </c>
      <c r="K225" s="3">
        <v>45783</v>
      </c>
      <c r="L225" t="s">
        <v>218</v>
      </c>
      <c r="M225" t="s">
        <v>1665</v>
      </c>
      <c r="N225" t="s">
        <v>73</v>
      </c>
      <c r="O225" s="2">
        <f t="shared" si="6"/>
        <v>49000</v>
      </c>
      <c r="P225" s="2">
        <f t="shared" si="7"/>
        <v>588000</v>
      </c>
      <c r="Q225" s="13" t="s">
        <v>74</v>
      </c>
      <c r="R225" s="9" t="s">
        <v>32</v>
      </c>
      <c r="S225" s="3">
        <v>28611</v>
      </c>
    </row>
    <row r="226" spans="1:19">
      <c r="A226" t="s">
        <v>1666</v>
      </c>
      <c r="B226" t="s">
        <v>840</v>
      </c>
      <c r="C226" t="s">
        <v>1667</v>
      </c>
      <c r="D226" t="s">
        <v>22</v>
      </c>
      <c r="E226" t="s">
        <v>1668</v>
      </c>
      <c r="F226" t="s">
        <v>1669</v>
      </c>
      <c r="G226" t="s">
        <v>1670</v>
      </c>
      <c r="H226" t="s">
        <v>1500</v>
      </c>
      <c r="I226" t="s">
        <v>1534</v>
      </c>
      <c r="J226" s="2">
        <v>83000</v>
      </c>
      <c r="K226" s="3">
        <v>45792</v>
      </c>
      <c r="L226" t="s">
        <v>218</v>
      </c>
      <c r="M226" t="s">
        <v>1671</v>
      </c>
      <c r="N226" t="s">
        <v>106</v>
      </c>
      <c r="O226" s="2">
        <f t="shared" si="6"/>
        <v>83000</v>
      </c>
      <c r="P226" s="2">
        <f t="shared" si="7"/>
        <v>996000</v>
      </c>
      <c r="Q226" s="13" t="s">
        <v>122</v>
      </c>
      <c r="R226" s="9" t="s">
        <v>54</v>
      </c>
      <c r="S226" s="3">
        <v>31332</v>
      </c>
    </row>
    <row r="227" spans="1:19" ht="27.6">
      <c r="A227" t="s">
        <v>1672</v>
      </c>
      <c r="B227" t="s">
        <v>1673</v>
      </c>
      <c r="C227" t="s">
        <v>714</v>
      </c>
      <c r="D227" t="s">
        <v>22</v>
      </c>
      <c r="E227" t="s">
        <v>1674</v>
      </c>
      <c r="F227" t="s">
        <v>1675</v>
      </c>
      <c r="G227" t="s">
        <v>1676</v>
      </c>
      <c r="H227" t="s">
        <v>1677</v>
      </c>
      <c r="I227" t="s">
        <v>1678</v>
      </c>
      <c r="J227" s="2">
        <v>80000</v>
      </c>
      <c r="K227" s="3">
        <v>45801</v>
      </c>
      <c r="L227" t="s">
        <v>28</v>
      </c>
      <c r="M227" t="s">
        <v>1679</v>
      </c>
      <c r="N227" t="s">
        <v>30</v>
      </c>
      <c r="O227" s="2">
        <f t="shared" si="6"/>
        <v>80000</v>
      </c>
      <c r="P227" s="2">
        <f t="shared" si="7"/>
        <v>960000</v>
      </c>
      <c r="Q227" s="13" t="s">
        <v>618</v>
      </c>
      <c r="R227" s="9" t="s">
        <v>1680</v>
      </c>
      <c r="S227" s="3">
        <v>33686</v>
      </c>
    </row>
    <row r="228" spans="1:19">
      <c r="A228" t="s">
        <v>1681</v>
      </c>
      <c r="B228" t="s">
        <v>1682</v>
      </c>
      <c r="C228" t="s">
        <v>1683</v>
      </c>
      <c r="D228" t="s">
        <v>22</v>
      </c>
      <c r="E228" t="s">
        <v>1684</v>
      </c>
      <c r="F228" t="s">
        <v>1685</v>
      </c>
      <c r="G228" t="s">
        <v>1686</v>
      </c>
      <c r="H228" t="s">
        <v>1677</v>
      </c>
      <c r="I228" t="s">
        <v>1687</v>
      </c>
      <c r="J228" s="2">
        <v>69000</v>
      </c>
      <c r="K228" s="3">
        <v>45810</v>
      </c>
      <c r="L228" t="s">
        <v>28</v>
      </c>
      <c r="M228" t="s">
        <v>1688</v>
      </c>
      <c r="N228" t="s">
        <v>98</v>
      </c>
      <c r="O228" s="2">
        <f t="shared" si="6"/>
        <v>69000</v>
      </c>
      <c r="P228" s="2">
        <f t="shared" si="7"/>
        <v>828000</v>
      </c>
      <c r="Q228" s="13" t="s">
        <v>1689</v>
      </c>
      <c r="R228" s="9" t="s">
        <v>1690</v>
      </c>
      <c r="S228" s="3">
        <v>36378</v>
      </c>
    </row>
    <row r="229" spans="1:19">
      <c r="A229" t="s">
        <v>1691</v>
      </c>
      <c r="B229" t="s">
        <v>1692</v>
      </c>
      <c r="C229" t="s">
        <v>1693</v>
      </c>
      <c r="D229" t="s">
        <v>22</v>
      </c>
      <c r="E229" t="s">
        <v>1694</v>
      </c>
      <c r="F229" t="s">
        <v>1695</v>
      </c>
      <c r="G229" t="s">
        <v>1696</v>
      </c>
      <c r="H229" t="s">
        <v>1677</v>
      </c>
      <c r="I229" t="s">
        <v>1697</v>
      </c>
      <c r="J229" s="2">
        <v>107000</v>
      </c>
      <c r="K229" s="3">
        <v>45819</v>
      </c>
      <c r="L229" t="s">
        <v>28</v>
      </c>
      <c r="M229" t="s">
        <v>1698</v>
      </c>
      <c r="N229" t="s">
        <v>52</v>
      </c>
      <c r="O229" s="2">
        <f t="shared" si="6"/>
        <v>107000</v>
      </c>
      <c r="P229" s="2">
        <f t="shared" si="7"/>
        <v>1284000</v>
      </c>
      <c r="Q229" s="13" t="s">
        <v>107</v>
      </c>
      <c r="R229" s="9" t="s">
        <v>1699</v>
      </c>
      <c r="S229" s="3">
        <v>28142</v>
      </c>
    </row>
    <row r="230" spans="1:19">
      <c r="A230" t="s">
        <v>1700</v>
      </c>
      <c r="B230" t="s">
        <v>93</v>
      </c>
      <c r="C230" t="s">
        <v>1701</v>
      </c>
      <c r="D230" t="s">
        <v>22</v>
      </c>
      <c r="E230" t="s">
        <v>1702</v>
      </c>
      <c r="F230" t="s">
        <v>1703</v>
      </c>
      <c r="G230" t="s">
        <v>1704</v>
      </c>
      <c r="H230" t="s">
        <v>1677</v>
      </c>
      <c r="I230" t="s">
        <v>1705</v>
      </c>
      <c r="J230" s="2">
        <v>46000</v>
      </c>
      <c r="K230" s="3">
        <v>45828</v>
      </c>
      <c r="L230" t="s">
        <v>28</v>
      </c>
      <c r="M230" t="s">
        <v>1706</v>
      </c>
      <c r="N230" t="s">
        <v>41</v>
      </c>
      <c r="O230" s="2">
        <f t="shared" si="6"/>
        <v>46000</v>
      </c>
      <c r="P230" s="2">
        <f t="shared" si="7"/>
        <v>552000</v>
      </c>
      <c r="Q230" s="13" t="s">
        <v>1707</v>
      </c>
      <c r="R230" s="9" t="s">
        <v>43</v>
      </c>
      <c r="S230" s="3">
        <v>30861</v>
      </c>
    </row>
    <row r="231" spans="1:19" ht="27.6">
      <c r="A231" t="s">
        <v>1708</v>
      </c>
      <c r="B231" t="s">
        <v>1709</v>
      </c>
      <c r="C231" t="s">
        <v>1710</v>
      </c>
      <c r="D231" t="s">
        <v>22</v>
      </c>
      <c r="E231" t="s">
        <v>1711</v>
      </c>
      <c r="F231" t="s">
        <v>1712</v>
      </c>
      <c r="G231" t="s">
        <v>1713</v>
      </c>
      <c r="H231" t="s">
        <v>1677</v>
      </c>
      <c r="I231" t="s">
        <v>1714</v>
      </c>
      <c r="J231" s="2">
        <v>102000</v>
      </c>
      <c r="K231" s="3">
        <v>45837</v>
      </c>
      <c r="L231" t="s">
        <v>28</v>
      </c>
      <c r="M231" t="s">
        <v>1715</v>
      </c>
      <c r="N231" t="s">
        <v>52</v>
      </c>
      <c r="O231" s="2">
        <f t="shared" si="6"/>
        <v>102000</v>
      </c>
      <c r="P231" s="2">
        <f t="shared" si="7"/>
        <v>1224000</v>
      </c>
      <c r="Q231" s="13" t="s">
        <v>618</v>
      </c>
      <c r="R231" s="9" t="s">
        <v>1680</v>
      </c>
      <c r="S231" s="3">
        <v>33553</v>
      </c>
    </row>
    <row r="232" spans="1:19">
      <c r="A232" t="s">
        <v>1716</v>
      </c>
      <c r="B232" t="s">
        <v>1717</v>
      </c>
      <c r="C232" t="s">
        <v>1718</v>
      </c>
      <c r="D232" t="s">
        <v>22</v>
      </c>
      <c r="E232" t="s">
        <v>1719</v>
      </c>
      <c r="F232" t="s">
        <v>1720</v>
      </c>
      <c r="G232" t="s">
        <v>1721</v>
      </c>
      <c r="H232" t="s">
        <v>1677</v>
      </c>
      <c r="I232" t="s">
        <v>1678</v>
      </c>
      <c r="J232" s="2">
        <v>65000</v>
      </c>
      <c r="K232" s="3">
        <v>45846</v>
      </c>
      <c r="L232" t="s">
        <v>28</v>
      </c>
      <c r="M232" t="s">
        <v>1722</v>
      </c>
      <c r="N232" t="s">
        <v>52</v>
      </c>
      <c r="O232" s="2">
        <f t="shared" si="6"/>
        <v>65000</v>
      </c>
      <c r="P232" s="2">
        <f t="shared" si="7"/>
        <v>780000</v>
      </c>
      <c r="Q232" s="13" t="s">
        <v>1689</v>
      </c>
      <c r="R232" s="9" t="s">
        <v>1690</v>
      </c>
      <c r="S232" s="3">
        <v>35907</v>
      </c>
    </row>
    <row r="233" spans="1:19">
      <c r="A233" t="s">
        <v>1723</v>
      </c>
      <c r="B233" t="s">
        <v>1724</v>
      </c>
      <c r="C233" t="s">
        <v>1725</v>
      </c>
      <c r="D233" t="s">
        <v>22</v>
      </c>
      <c r="E233" t="s">
        <v>1726</v>
      </c>
      <c r="F233" t="s">
        <v>1727</v>
      </c>
      <c r="G233" t="s">
        <v>1728</v>
      </c>
      <c r="H233" t="s">
        <v>1677</v>
      </c>
      <c r="I233" t="s">
        <v>1687</v>
      </c>
      <c r="J233" s="2">
        <v>98000</v>
      </c>
      <c r="K233" s="3">
        <v>45855</v>
      </c>
      <c r="L233" t="s">
        <v>28</v>
      </c>
      <c r="M233" t="s">
        <v>1729</v>
      </c>
      <c r="N233" t="s">
        <v>82</v>
      </c>
      <c r="O233" s="2">
        <f t="shared" si="6"/>
        <v>98000</v>
      </c>
      <c r="P233" s="2">
        <f t="shared" si="7"/>
        <v>1176000</v>
      </c>
      <c r="Q233" s="13" t="s">
        <v>137</v>
      </c>
      <c r="R233" s="9" t="s">
        <v>1699</v>
      </c>
      <c r="S233" s="3">
        <v>28008</v>
      </c>
    </row>
    <row r="234" spans="1:19">
      <c r="A234" t="s">
        <v>1730</v>
      </c>
      <c r="B234" t="s">
        <v>1731</v>
      </c>
      <c r="C234" t="s">
        <v>1732</v>
      </c>
      <c r="D234" t="s">
        <v>22</v>
      </c>
      <c r="E234" t="s">
        <v>1733</v>
      </c>
      <c r="F234" t="s">
        <v>1734</v>
      </c>
      <c r="G234" t="s">
        <v>1735</v>
      </c>
      <c r="H234" t="s">
        <v>1677</v>
      </c>
      <c r="I234" t="s">
        <v>1697</v>
      </c>
      <c r="J234" s="2">
        <v>60000</v>
      </c>
      <c r="K234" s="3">
        <v>45864</v>
      </c>
      <c r="L234" t="s">
        <v>28</v>
      </c>
      <c r="M234" t="s">
        <v>1736</v>
      </c>
      <c r="N234" t="s">
        <v>106</v>
      </c>
      <c r="O234" s="2">
        <f t="shared" si="6"/>
        <v>60000</v>
      </c>
      <c r="P234" s="2">
        <f t="shared" si="7"/>
        <v>720000</v>
      </c>
      <c r="Q234" s="13" t="s">
        <v>1707</v>
      </c>
      <c r="R234" s="9" t="s">
        <v>43</v>
      </c>
      <c r="S234" s="3">
        <v>30363</v>
      </c>
    </row>
    <row r="235" spans="1:19" ht="27.6">
      <c r="A235" t="s">
        <v>1737</v>
      </c>
      <c r="B235" t="s">
        <v>1738</v>
      </c>
      <c r="C235" t="s">
        <v>1739</v>
      </c>
      <c r="D235" t="s">
        <v>22</v>
      </c>
      <c r="E235" t="s">
        <v>1740</v>
      </c>
      <c r="F235" t="s">
        <v>1741</v>
      </c>
      <c r="G235" t="s">
        <v>1742</v>
      </c>
      <c r="H235" t="s">
        <v>1677</v>
      </c>
      <c r="I235" t="s">
        <v>1705</v>
      </c>
      <c r="J235" s="2">
        <v>96000</v>
      </c>
      <c r="K235" s="3">
        <v>45873</v>
      </c>
      <c r="L235" t="s">
        <v>28</v>
      </c>
      <c r="M235" t="s">
        <v>1743</v>
      </c>
      <c r="N235" t="s">
        <v>30</v>
      </c>
      <c r="O235" s="2">
        <f t="shared" si="6"/>
        <v>96000</v>
      </c>
      <c r="P235" s="2">
        <f t="shared" si="7"/>
        <v>1152000</v>
      </c>
      <c r="Q235" s="13" t="s">
        <v>618</v>
      </c>
      <c r="R235" s="9" t="s">
        <v>1680</v>
      </c>
      <c r="S235" s="3">
        <v>33081</v>
      </c>
    </row>
    <row r="236" spans="1:19">
      <c r="A236" t="s">
        <v>1744</v>
      </c>
      <c r="B236" t="s">
        <v>1745</v>
      </c>
      <c r="C236" t="s">
        <v>1746</v>
      </c>
      <c r="D236" t="s">
        <v>22</v>
      </c>
      <c r="E236" t="s">
        <v>1747</v>
      </c>
      <c r="F236" t="s">
        <v>1748</v>
      </c>
      <c r="G236" t="s">
        <v>1749</v>
      </c>
      <c r="H236" t="s">
        <v>1677</v>
      </c>
      <c r="I236" t="s">
        <v>1714</v>
      </c>
      <c r="J236" s="2">
        <v>96000</v>
      </c>
      <c r="K236" s="3">
        <v>45882</v>
      </c>
      <c r="L236" t="s">
        <v>28</v>
      </c>
      <c r="M236" t="s">
        <v>1750</v>
      </c>
      <c r="N236" t="s">
        <v>98</v>
      </c>
      <c r="O236" s="2">
        <f t="shared" si="6"/>
        <v>96000</v>
      </c>
      <c r="P236" s="2">
        <f t="shared" si="7"/>
        <v>1152000</v>
      </c>
      <c r="Q236" s="13" t="s">
        <v>1689</v>
      </c>
      <c r="R236" s="9" t="s">
        <v>1690</v>
      </c>
      <c r="S236" s="3">
        <v>35774</v>
      </c>
    </row>
    <row r="237" spans="1:19" ht="27.6">
      <c r="A237" t="s">
        <v>1751</v>
      </c>
      <c r="B237" t="s">
        <v>1752</v>
      </c>
      <c r="C237" t="s">
        <v>1753</v>
      </c>
      <c r="D237" t="s">
        <v>22</v>
      </c>
      <c r="E237" t="s">
        <v>1754</v>
      </c>
      <c r="F237" t="s">
        <v>1755</v>
      </c>
      <c r="G237" t="s">
        <v>1756</v>
      </c>
      <c r="H237" t="s">
        <v>1677</v>
      </c>
      <c r="I237" t="s">
        <v>1678</v>
      </c>
      <c r="J237" s="2">
        <v>47000</v>
      </c>
      <c r="K237" s="3">
        <v>45891</v>
      </c>
      <c r="L237" t="s">
        <v>28</v>
      </c>
      <c r="M237" t="s">
        <v>1757</v>
      </c>
      <c r="N237" t="s">
        <v>73</v>
      </c>
      <c r="O237" s="2">
        <f t="shared" si="6"/>
        <v>47000</v>
      </c>
      <c r="P237" s="2">
        <f t="shared" si="7"/>
        <v>564000</v>
      </c>
      <c r="Q237" s="13" t="s">
        <v>167</v>
      </c>
      <c r="R237" s="9" t="s">
        <v>1699</v>
      </c>
      <c r="S237" s="3">
        <v>38128</v>
      </c>
    </row>
    <row r="238" spans="1:19">
      <c r="A238" t="s">
        <v>1758</v>
      </c>
      <c r="B238" t="s">
        <v>1759</v>
      </c>
      <c r="C238" t="s">
        <v>1549</v>
      </c>
      <c r="D238" t="s">
        <v>22</v>
      </c>
      <c r="E238" t="s">
        <v>1760</v>
      </c>
      <c r="F238" t="s">
        <v>1761</v>
      </c>
      <c r="G238" t="s">
        <v>1762</v>
      </c>
      <c r="H238" t="s">
        <v>1677</v>
      </c>
      <c r="I238" t="s">
        <v>1687</v>
      </c>
      <c r="J238" s="2">
        <v>70000</v>
      </c>
      <c r="K238" s="3">
        <v>45900</v>
      </c>
      <c r="L238" t="s">
        <v>28</v>
      </c>
      <c r="M238" t="s">
        <v>1763</v>
      </c>
      <c r="N238" t="s">
        <v>52</v>
      </c>
      <c r="O238" s="2">
        <f t="shared" si="6"/>
        <v>70000</v>
      </c>
      <c r="P238" s="2">
        <f t="shared" si="7"/>
        <v>840000</v>
      </c>
      <c r="Q238" s="13" t="s">
        <v>1707</v>
      </c>
      <c r="R238" s="9" t="s">
        <v>43</v>
      </c>
      <c r="S238" s="3">
        <v>30228</v>
      </c>
    </row>
    <row r="239" spans="1:19" ht="27.6">
      <c r="A239" t="s">
        <v>1764</v>
      </c>
      <c r="B239" t="s">
        <v>1765</v>
      </c>
      <c r="C239" t="s">
        <v>1766</v>
      </c>
      <c r="D239" t="s">
        <v>22</v>
      </c>
      <c r="E239" t="s">
        <v>1767</v>
      </c>
      <c r="F239" t="s">
        <v>1768</v>
      </c>
      <c r="G239" t="s">
        <v>1769</v>
      </c>
      <c r="H239" t="s">
        <v>1677</v>
      </c>
      <c r="I239" t="s">
        <v>1697</v>
      </c>
      <c r="J239" s="2">
        <v>114000</v>
      </c>
      <c r="K239" s="3">
        <v>45909</v>
      </c>
      <c r="L239" t="s">
        <v>28</v>
      </c>
      <c r="M239" t="s">
        <v>1770</v>
      </c>
      <c r="N239" t="s">
        <v>30</v>
      </c>
      <c r="O239" s="2">
        <f t="shared" si="6"/>
        <v>114000</v>
      </c>
      <c r="P239" s="2">
        <f t="shared" si="7"/>
        <v>1368000</v>
      </c>
      <c r="Q239" s="13" t="s">
        <v>618</v>
      </c>
      <c r="R239" s="9" t="s">
        <v>1680</v>
      </c>
      <c r="S239" s="3">
        <v>32582</v>
      </c>
    </row>
    <row r="240" spans="1:19">
      <c r="A240" t="s">
        <v>1771</v>
      </c>
      <c r="B240" t="s">
        <v>1772</v>
      </c>
      <c r="C240" t="s">
        <v>1773</v>
      </c>
      <c r="D240" t="s">
        <v>22</v>
      </c>
      <c r="E240" t="s">
        <v>1774</v>
      </c>
      <c r="F240" t="s">
        <v>1775</v>
      </c>
      <c r="G240" t="s">
        <v>1776</v>
      </c>
      <c r="H240" t="s">
        <v>1677</v>
      </c>
      <c r="I240" t="s">
        <v>1705</v>
      </c>
      <c r="J240" s="2">
        <v>50000</v>
      </c>
      <c r="K240" s="3">
        <v>45918</v>
      </c>
      <c r="L240" t="s">
        <v>28</v>
      </c>
      <c r="M240" t="s">
        <v>1777</v>
      </c>
      <c r="N240" t="s">
        <v>52</v>
      </c>
      <c r="O240" s="2">
        <f t="shared" si="6"/>
        <v>50000</v>
      </c>
      <c r="P240" s="2">
        <f t="shared" si="7"/>
        <v>600000</v>
      </c>
      <c r="Q240" s="13" t="s">
        <v>1689</v>
      </c>
      <c r="R240" s="9" t="s">
        <v>1690</v>
      </c>
      <c r="S240" s="3">
        <v>35303</v>
      </c>
    </row>
    <row r="241" spans="1:19" ht="27.6">
      <c r="A241" t="s">
        <v>1778</v>
      </c>
      <c r="B241" t="s">
        <v>1779</v>
      </c>
      <c r="C241" t="s">
        <v>1780</v>
      </c>
      <c r="D241" t="s">
        <v>22</v>
      </c>
      <c r="E241" t="s">
        <v>1781</v>
      </c>
      <c r="F241" t="s">
        <v>1782</v>
      </c>
      <c r="G241" t="s">
        <v>1783</v>
      </c>
      <c r="H241" t="s">
        <v>1677</v>
      </c>
      <c r="I241" t="s">
        <v>1714</v>
      </c>
      <c r="J241" s="2">
        <v>79000</v>
      </c>
      <c r="K241" s="3">
        <v>45927</v>
      </c>
      <c r="L241" t="s">
        <v>28</v>
      </c>
      <c r="M241" t="s">
        <v>1784</v>
      </c>
      <c r="N241" t="s">
        <v>98</v>
      </c>
      <c r="O241" s="2">
        <f t="shared" si="6"/>
        <v>79000</v>
      </c>
      <c r="P241" s="2">
        <f t="shared" si="7"/>
        <v>948000</v>
      </c>
      <c r="Q241" s="13" t="s">
        <v>31</v>
      </c>
      <c r="R241" s="9" t="s">
        <v>1699</v>
      </c>
      <c r="S241" s="3">
        <v>37630</v>
      </c>
    </row>
    <row r="242" spans="1:19">
      <c r="A242" t="s">
        <v>1785</v>
      </c>
      <c r="B242" t="s">
        <v>185</v>
      </c>
      <c r="C242" t="s">
        <v>1786</v>
      </c>
      <c r="D242" t="s">
        <v>22</v>
      </c>
      <c r="E242" t="s">
        <v>1787</v>
      </c>
      <c r="F242" t="s">
        <v>1788</v>
      </c>
      <c r="G242" t="s">
        <v>1789</v>
      </c>
      <c r="H242" t="s">
        <v>1677</v>
      </c>
      <c r="I242" t="s">
        <v>1678</v>
      </c>
      <c r="J242" s="2">
        <v>75000</v>
      </c>
      <c r="K242" s="3">
        <v>45936</v>
      </c>
      <c r="L242" t="s">
        <v>28</v>
      </c>
      <c r="M242" t="s">
        <v>1790</v>
      </c>
      <c r="N242" t="s">
        <v>82</v>
      </c>
      <c r="O242" s="2">
        <f t="shared" si="6"/>
        <v>75000</v>
      </c>
      <c r="P242" s="2">
        <f t="shared" si="7"/>
        <v>900000</v>
      </c>
      <c r="Q242" s="13" t="s">
        <v>1707</v>
      </c>
      <c r="R242" s="9" t="s">
        <v>43</v>
      </c>
      <c r="S242" s="3">
        <v>29757</v>
      </c>
    </row>
    <row r="243" spans="1:19" ht="27.6">
      <c r="A243" t="s">
        <v>1791</v>
      </c>
      <c r="B243" t="s">
        <v>1792</v>
      </c>
      <c r="C243" t="s">
        <v>1793</v>
      </c>
      <c r="D243" t="s">
        <v>22</v>
      </c>
      <c r="E243" t="s">
        <v>1794</v>
      </c>
      <c r="F243" t="s">
        <v>1795</v>
      </c>
      <c r="G243" t="s">
        <v>1796</v>
      </c>
      <c r="H243" t="s">
        <v>1677</v>
      </c>
      <c r="I243" t="s">
        <v>1687</v>
      </c>
      <c r="J243" s="2">
        <v>109000</v>
      </c>
      <c r="K243" s="3">
        <v>45945</v>
      </c>
      <c r="L243" t="s">
        <v>28</v>
      </c>
      <c r="M243" t="s">
        <v>1797</v>
      </c>
      <c r="N243" t="s">
        <v>82</v>
      </c>
      <c r="O243" s="2">
        <f t="shared" si="6"/>
        <v>109000</v>
      </c>
      <c r="P243" s="2">
        <f t="shared" si="7"/>
        <v>1308000</v>
      </c>
      <c r="Q243" s="13" t="s">
        <v>618</v>
      </c>
      <c r="R243" s="9" t="s">
        <v>1680</v>
      </c>
      <c r="S243" s="3">
        <v>32450</v>
      </c>
    </row>
    <row r="244" spans="1:19">
      <c r="A244" t="s">
        <v>1798</v>
      </c>
      <c r="B244" t="s">
        <v>1799</v>
      </c>
      <c r="C244" t="s">
        <v>1800</v>
      </c>
      <c r="D244" t="s">
        <v>22</v>
      </c>
      <c r="E244" t="s">
        <v>1801</v>
      </c>
      <c r="F244" t="s">
        <v>1802</v>
      </c>
      <c r="G244" t="s">
        <v>1803</v>
      </c>
      <c r="H244" t="s">
        <v>1677</v>
      </c>
      <c r="I244" t="s">
        <v>1697</v>
      </c>
      <c r="J244" s="2">
        <v>84000</v>
      </c>
      <c r="K244" s="3">
        <v>45954</v>
      </c>
      <c r="L244" t="s">
        <v>28</v>
      </c>
      <c r="M244" t="s">
        <v>1804</v>
      </c>
      <c r="N244" t="s">
        <v>73</v>
      </c>
      <c r="O244" s="2">
        <f t="shared" si="6"/>
        <v>84000</v>
      </c>
      <c r="P244" s="2">
        <f t="shared" si="7"/>
        <v>1008000</v>
      </c>
      <c r="Q244" s="13" t="s">
        <v>1689</v>
      </c>
      <c r="R244" s="9" t="s">
        <v>1690</v>
      </c>
      <c r="S244" s="3">
        <v>34803</v>
      </c>
    </row>
    <row r="245" spans="1:19" ht="27.6">
      <c r="A245" t="s">
        <v>1805</v>
      </c>
      <c r="B245" t="s">
        <v>975</v>
      </c>
      <c r="C245" t="s">
        <v>1806</v>
      </c>
      <c r="D245" t="s">
        <v>22</v>
      </c>
      <c r="E245" t="s">
        <v>1807</v>
      </c>
      <c r="F245" t="s">
        <v>1808</v>
      </c>
      <c r="G245" t="s">
        <v>1809</v>
      </c>
      <c r="H245" t="s">
        <v>1677</v>
      </c>
      <c r="I245" t="s">
        <v>1705</v>
      </c>
      <c r="J245" s="2">
        <v>76000</v>
      </c>
      <c r="K245" s="3">
        <v>45963</v>
      </c>
      <c r="L245" t="s">
        <v>28</v>
      </c>
      <c r="M245" t="s">
        <v>1810</v>
      </c>
      <c r="N245" t="s">
        <v>30</v>
      </c>
      <c r="O245" s="2">
        <f t="shared" si="6"/>
        <v>76000</v>
      </c>
      <c r="P245" s="2">
        <f t="shared" si="7"/>
        <v>912000</v>
      </c>
      <c r="Q245" s="13" t="s">
        <v>74</v>
      </c>
      <c r="R245" s="9" t="s">
        <v>1699</v>
      </c>
      <c r="S245" s="3">
        <v>37524</v>
      </c>
    </row>
    <row r="246" spans="1:19">
      <c r="A246" t="s">
        <v>1811</v>
      </c>
      <c r="B246" t="s">
        <v>1812</v>
      </c>
      <c r="C246" t="s">
        <v>1813</v>
      </c>
      <c r="D246" t="s">
        <v>22</v>
      </c>
      <c r="E246" t="s">
        <v>1814</v>
      </c>
      <c r="F246" t="s">
        <v>1815</v>
      </c>
      <c r="G246" t="s">
        <v>1816</v>
      </c>
      <c r="H246" t="s">
        <v>1677</v>
      </c>
      <c r="I246" t="s">
        <v>1714</v>
      </c>
      <c r="J246" s="2">
        <v>80000</v>
      </c>
      <c r="K246" s="3">
        <v>45972</v>
      </c>
      <c r="L246" t="s">
        <v>28</v>
      </c>
      <c r="M246" t="s">
        <v>1817</v>
      </c>
      <c r="N246" t="s">
        <v>30</v>
      </c>
      <c r="O246" s="2">
        <f t="shared" si="6"/>
        <v>80000</v>
      </c>
      <c r="P246" s="2">
        <f t="shared" si="7"/>
        <v>960000</v>
      </c>
      <c r="Q246" s="13" t="s">
        <v>1707</v>
      </c>
      <c r="R246" s="9" t="s">
        <v>43</v>
      </c>
      <c r="S246" s="3">
        <v>29259</v>
      </c>
    </row>
    <row r="247" spans="1:19" ht="27.6">
      <c r="A247" t="s">
        <v>1818</v>
      </c>
      <c r="B247" t="s">
        <v>1819</v>
      </c>
      <c r="C247" t="s">
        <v>1820</v>
      </c>
      <c r="D247" t="s">
        <v>22</v>
      </c>
      <c r="E247" t="s">
        <v>1821</v>
      </c>
      <c r="F247" t="s">
        <v>1822</v>
      </c>
      <c r="G247" t="s">
        <v>1823</v>
      </c>
      <c r="H247" t="s">
        <v>1677</v>
      </c>
      <c r="I247" t="s">
        <v>1678</v>
      </c>
      <c r="J247" s="2">
        <v>110000</v>
      </c>
      <c r="K247" s="3">
        <v>45981</v>
      </c>
      <c r="L247" t="s">
        <v>28</v>
      </c>
      <c r="M247" t="s">
        <v>1824</v>
      </c>
      <c r="N247" t="s">
        <v>82</v>
      </c>
      <c r="O247" s="2">
        <f t="shared" si="6"/>
        <v>110000</v>
      </c>
      <c r="P247" s="2">
        <f t="shared" si="7"/>
        <v>1320000</v>
      </c>
      <c r="Q247" s="13" t="s">
        <v>618</v>
      </c>
      <c r="R247" s="9" t="s">
        <v>1680</v>
      </c>
      <c r="S247" s="3">
        <v>31977</v>
      </c>
    </row>
    <row r="248" spans="1:19">
      <c r="A248" t="s">
        <v>1825</v>
      </c>
      <c r="B248" t="s">
        <v>1826</v>
      </c>
      <c r="C248" t="s">
        <v>1827</v>
      </c>
      <c r="D248" t="s">
        <v>22</v>
      </c>
      <c r="E248" t="s">
        <v>1828</v>
      </c>
      <c r="F248" t="s">
        <v>1829</v>
      </c>
      <c r="G248" t="s">
        <v>1830</v>
      </c>
      <c r="H248" t="s">
        <v>1677</v>
      </c>
      <c r="I248" t="s">
        <v>1687</v>
      </c>
      <c r="J248" s="2">
        <v>75000</v>
      </c>
      <c r="K248" s="3">
        <v>45990</v>
      </c>
      <c r="L248" t="s">
        <v>28</v>
      </c>
      <c r="M248" t="s">
        <v>1831</v>
      </c>
      <c r="N248" t="s">
        <v>73</v>
      </c>
      <c r="O248" s="2">
        <f t="shared" si="6"/>
        <v>75000</v>
      </c>
      <c r="P248" s="2">
        <f t="shared" si="7"/>
        <v>900000</v>
      </c>
      <c r="Q248" s="13" t="s">
        <v>1689</v>
      </c>
      <c r="R248" s="9" t="s">
        <v>1690</v>
      </c>
      <c r="S248" s="3">
        <v>34670</v>
      </c>
    </row>
    <row r="249" spans="1:19">
      <c r="A249" t="s">
        <v>1832</v>
      </c>
      <c r="B249" t="s">
        <v>1833</v>
      </c>
      <c r="C249" t="s">
        <v>1834</v>
      </c>
      <c r="D249" t="s">
        <v>22</v>
      </c>
      <c r="E249" t="s">
        <v>1835</v>
      </c>
      <c r="F249" t="s">
        <v>1836</v>
      </c>
      <c r="G249" t="s">
        <v>1837</v>
      </c>
      <c r="H249" t="s">
        <v>1677</v>
      </c>
      <c r="I249" t="s">
        <v>1697</v>
      </c>
      <c r="J249" s="2">
        <v>58000</v>
      </c>
      <c r="K249" s="3">
        <v>45999</v>
      </c>
      <c r="L249" t="s">
        <v>28</v>
      </c>
      <c r="M249" t="s">
        <v>1838</v>
      </c>
      <c r="N249" t="s">
        <v>73</v>
      </c>
      <c r="O249" s="2">
        <f t="shared" si="6"/>
        <v>58000</v>
      </c>
      <c r="P249" s="2">
        <f t="shared" si="7"/>
        <v>696000</v>
      </c>
      <c r="Q249" s="13" t="s">
        <v>107</v>
      </c>
      <c r="R249" s="9" t="s">
        <v>1699</v>
      </c>
      <c r="S249" s="3">
        <v>37024</v>
      </c>
    </row>
    <row r="250" spans="1:19">
      <c r="A250" t="s">
        <v>1839</v>
      </c>
      <c r="B250" t="s">
        <v>1840</v>
      </c>
      <c r="C250" t="s">
        <v>1632</v>
      </c>
      <c r="D250" t="s">
        <v>22</v>
      </c>
      <c r="E250" t="s">
        <v>1841</v>
      </c>
      <c r="F250" t="s">
        <v>1842</v>
      </c>
      <c r="G250" t="s">
        <v>1843</v>
      </c>
      <c r="H250" t="s">
        <v>1677</v>
      </c>
      <c r="I250" t="s">
        <v>1705</v>
      </c>
      <c r="J250" s="2">
        <v>112000</v>
      </c>
      <c r="K250" s="3">
        <v>46008</v>
      </c>
      <c r="L250" t="s">
        <v>28</v>
      </c>
      <c r="M250" t="s">
        <v>1844</v>
      </c>
      <c r="N250" t="s">
        <v>30</v>
      </c>
      <c r="O250" s="2">
        <f t="shared" si="6"/>
        <v>112000</v>
      </c>
      <c r="P250" s="2">
        <f t="shared" si="7"/>
        <v>1344000</v>
      </c>
      <c r="Q250" s="13" t="s">
        <v>1707</v>
      </c>
      <c r="R250" s="9" t="s">
        <v>43</v>
      </c>
      <c r="S250" s="3">
        <v>29152</v>
      </c>
    </row>
    <row r="251" spans="1:19" ht="27.6">
      <c r="A251" t="s">
        <v>1845</v>
      </c>
      <c r="B251" t="s">
        <v>1846</v>
      </c>
      <c r="C251" t="s">
        <v>1847</v>
      </c>
      <c r="D251" t="s">
        <v>22</v>
      </c>
      <c r="E251" t="s">
        <v>1848</v>
      </c>
      <c r="F251" t="s">
        <v>1849</v>
      </c>
      <c r="G251" t="s">
        <v>1850</v>
      </c>
      <c r="H251" t="s">
        <v>1677</v>
      </c>
      <c r="I251" t="s">
        <v>1714</v>
      </c>
      <c r="J251" s="2">
        <v>97000</v>
      </c>
      <c r="K251" s="3">
        <v>46017</v>
      </c>
      <c r="L251" t="s">
        <v>28</v>
      </c>
      <c r="M251" t="s">
        <v>1851</v>
      </c>
      <c r="N251" t="s">
        <v>204</v>
      </c>
      <c r="O251" s="2">
        <f t="shared" si="6"/>
        <v>97000</v>
      </c>
      <c r="P251" s="2">
        <f t="shared" si="7"/>
        <v>1164000</v>
      </c>
      <c r="Q251" s="13" t="s">
        <v>618</v>
      </c>
      <c r="R251" s="9" t="s">
        <v>1680</v>
      </c>
      <c r="S251" s="3">
        <v>31478</v>
      </c>
    </row>
    <row r="252" spans="1:19" ht="27.6">
      <c r="A252" t="s">
        <v>1852</v>
      </c>
      <c r="B252" t="s">
        <v>1853</v>
      </c>
      <c r="C252" t="s">
        <v>1854</v>
      </c>
      <c r="D252" t="s">
        <v>22</v>
      </c>
      <c r="E252" t="s">
        <v>1855</v>
      </c>
      <c r="F252" t="s">
        <v>1856</v>
      </c>
      <c r="G252" t="s">
        <v>1857</v>
      </c>
      <c r="H252" t="s">
        <v>1858</v>
      </c>
      <c r="I252" t="s">
        <v>1859</v>
      </c>
      <c r="J252" s="2">
        <v>144000</v>
      </c>
      <c r="K252" s="3">
        <v>46026</v>
      </c>
      <c r="L252" t="s">
        <v>28</v>
      </c>
      <c r="M252" t="s">
        <v>1860</v>
      </c>
      <c r="N252" t="s">
        <v>52</v>
      </c>
      <c r="O252" s="2">
        <f t="shared" si="6"/>
        <v>144000</v>
      </c>
      <c r="P252" s="2">
        <f t="shared" si="7"/>
        <v>1728000</v>
      </c>
      <c r="Q252" s="13" t="s">
        <v>618</v>
      </c>
      <c r="R252" s="9" t="s">
        <v>1680</v>
      </c>
      <c r="S252" s="3">
        <v>34199</v>
      </c>
    </row>
    <row r="253" spans="1:19">
      <c r="A253" t="s">
        <v>1861</v>
      </c>
      <c r="B253" t="s">
        <v>1862</v>
      </c>
      <c r="C253" t="s">
        <v>1863</v>
      </c>
      <c r="D253" t="s">
        <v>22</v>
      </c>
      <c r="E253" t="s">
        <v>1864</v>
      </c>
      <c r="F253" t="s">
        <v>1865</v>
      </c>
      <c r="G253" t="s">
        <v>1866</v>
      </c>
      <c r="H253" t="s">
        <v>1858</v>
      </c>
      <c r="I253" t="s">
        <v>1867</v>
      </c>
      <c r="J253" s="2">
        <v>57000</v>
      </c>
      <c r="K253" s="3">
        <v>46035</v>
      </c>
      <c r="L253" t="s">
        <v>28</v>
      </c>
      <c r="M253" t="s">
        <v>1868</v>
      </c>
      <c r="N253" t="s">
        <v>98</v>
      </c>
      <c r="O253" s="2">
        <f t="shared" si="6"/>
        <v>57000</v>
      </c>
      <c r="P253" s="2">
        <f t="shared" si="7"/>
        <v>684000</v>
      </c>
      <c r="Q253" s="13" t="s">
        <v>1869</v>
      </c>
      <c r="R253" s="9" t="s">
        <v>1870</v>
      </c>
      <c r="S253" s="3">
        <v>36526</v>
      </c>
    </row>
    <row r="254" spans="1:19">
      <c r="A254" t="s">
        <v>1871</v>
      </c>
      <c r="B254" t="s">
        <v>1872</v>
      </c>
      <c r="C254" t="s">
        <v>1873</v>
      </c>
      <c r="D254" t="s">
        <v>22</v>
      </c>
      <c r="E254" t="s">
        <v>1874</v>
      </c>
      <c r="F254" t="s">
        <v>1875</v>
      </c>
      <c r="G254" t="s">
        <v>1876</v>
      </c>
      <c r="H254" t="s">
        <v>1858</v>
      </c>
      <c r="I254" t="s">
        <v>1877</v>
      </c>
      <c r="J254" s="2">
        <v>61000</v>
      </c>
      <c r="K254" s="3">
        <v>46044</v>
      </c>
      <c r="L254" t="s">
        <v>28</v>
      </c>
      <c r="M254" t="s">
        <v>1878</v>
      </c>
      <c r="N254" t="s">
        <v>52</v>
      </c>
      <c r="O254" s="2">
        <f t="shared" si="6"/>
        <v>61000</v>
      </c>
      <c r="P254" s="2">
        <f t="shared" si="7"/>
        <v>732000</v>
      </c>
      <c r="Q254" s="13" t="s">
        <v>137</v>
      </c>
      <c r="R254" s="9" t="s">
        <v>1699</v>
      </c>
      <c r="S254" s="3">
        <v>28653</v>
      </c>
    </row>
    <row r="255" spans="1:19">
      <c r="A255" t="s">
        <v>1879</v>
      </c>
      <c r="B255" t="s">
        <v>1880</v>
      </c>
      <c r="C255" t="s">
        <v>1881</v>
      </c>
      <c r="D255" t="s">
        <v>22</v>
      </c>
      <c r="E255" t="s">
        <v>1882</v>
      </c>
      <c r="F255" t="s">
        <v>1883</v>
      </c>
      <c r="G255" t="s">
        <v>1884</v>
      </c>
      <c r="H255" t="s">
        <v>1858</v>
      </c>
      <c r="I255" t="s">
        <v>1885</v>
      </c>
      <c r="J255" s="2">
        <v>78000</v>
      </c>
      <c r="K255" s="3">
        <v>46053</v>
      </c>
      <c r="L255" t="s">
        <v>28</v>
      </c>
      <c r="M255" t="s">
        <v>1886</v>
      </c>
      <c r="N255" t="s">
        <v>41</v>
      </c>
      <c r="O255" s="2">
        <f t="shared" si="6"/>
        <v>78000</v>
      </c>
      <c r="P255" s="2">
        <f t="shared" si="7"/>
        <v>936000</v>
      </c>
      <c r="Q255" s="13" t="s">
        <v>107</v>
      </c>
      <c r="R255" s="9" t="s">
        <v>1887</v>
      </c>
      <c r="S255" s="3">
        <v>31374</v>
      </c>
    </row>
    <row r="256" spans="1:19" ht="27.6">
      <c r="A256" t="s">
        <v>1888</v>
      </c>
      <c r="B256" t="s">
        <v>1889</v>
      </c>
      <c r="C256" t="s">
        <v>1890</v>
      </c>
      <c r="D256" t="s">
        <v>22</v>
      </c>
      <c r="E256" t="s">
        <v>1891</v>
      </c>
      <c r="F256" t="s">
        <v>1892</v>
      </c>
      <c r="G256" t="s">
        <v>1893</v>
      </c>
      <c r="H256" t="s">
        <v>1858</v>
      </c>
      <c r="I256" t="s">
        <v>1894</v>
      </c>
      <c r="J256" s="2">
        <v>55000</v>
      </c>
      <c r="K256" s="3">
        <v>46062</v>
      </c>
      <c r="L256" t="s">
        <v>28</v>
      </c>
      <c r="M256" t="s">
        <v>1895</v>
      </c>
      <c r="N256" t="s">
        <v>98</v>
      </c>
      <c r="O256" s="2">
        <f t="shared" si="6"/>
        <v>55000</v>
      </c>
      <c r="P256" s="2">
        <f t="shared" si="7"/>
        <v>660000</v>
      </c>
      <c r="Q256" s="13" t="s">
        <v>618</v>
      </c>
      <c r="R256" s="9" t="s">
        <v>1680</v>
      </c>
      <c r="S256" s="3">
        <v>33700</v>
      </c>
    </row>
    <row r="257" spans="1:19">
      <c r="A257" t="s">
        <v>1896</v>
      </c>
      <c r="B257" t="s">
        <v>1897</v>
      </c>
      <c r="C257" t="s">
        <v>1682</v>
      </c>
      <c r="D257" t="s">
        <v>22</v>
      </c>
      <c r="E257" t="s">
        <v>1898</v>
      </c>
      <c r="F257" t="s">
        <v>1899</v>
      </c>
      <c r="G257" t="s">
        <v>1900</v>
      </c>
      <c r="H257" t="s">
        <v>1858</v>
      </c>
      <c r="I257" t="s">
        <v>1859</v>
      </c>
      <c r="J257" s="2">
        <v>128000</v>
      </c>
      <c r="K257" s="3">
        <v>46071</v>
      </c>
      <c r="L257" t="s">
        <v>28</v>
      </c>
      <c r="M257" t="s">
        <v>1901</v>
      </c>
      <c r="N257" t="s">
        <v>41</v>
      </c>
      <c r="O257" s="2">
        <f t="shared" si="6"/>
        <v>128000</v>
      </c>
      <c r="P257" s="2">
        <f t="shared" si="7"/>
        <v>1536000</v>
      </c>
      <c r="Q257" s="13" t="s">
        <v>1869</v>
      </c>
      <c r="R257" s="9" t="s">
        <v>1870</v>
      </c>
      <c r="S257" s="3">
        <v>36420</v>
      </c>
    </row>
    <row r="258" spans="1:19" ht="27.6">
      <c r="A258" t="s">
        <v>1902</v>
      </c>
      <c r="B258" t="s">
        <v>1903</v>
      </c>
      <c r="C258" t="s">
        <v>936</v>
      </c>
      <c r="D258" t="s">
        <v>22</v>
      </c>
      <c r="E258" t="s">
        <v>1904</v>
      </c>
      <c r="F258" t="s">
        <v>1905</v>
      </c>
      <c r="G258" t="s">
        <v>1906</v>
      </c>
      <c r="H258" t="s">
        <v>1858</v>
      </c>
      <c r="I258" t="s">
        <v>1867</v>
      </c>
      <c r="J258" s="2">
        <v>151000</v>
      </c>
      <c r="K258" s="3">
        <v>46080</v>
      </c>
      <c r="L258" t="s">
        <v>28</v>
      </c>
      <c r="M258" t="s">
        <v>1907</v>
      </c>
      <c r="N258" t="s">
        <v>30</v>
      </c>
      <c r="O258" s="2">
        <f t="shared" ref="O258:O321" si="8">J258</f>
        <v>151000</v>
      </c>
      <c r="P258" s="2">
        <f t="shared" ref="P258:P321" si="9">J258*12</f>
        <v>1812000</v>
      </c>
      <c r="Q258" s="13" t="s">
        <v>167</v>
      </c>
      <c r="R258" s="9" t="s">
        <v>1699</v>
      </c>
      <c r="S258" s="3">
        <v>28184</v>
      </c>
    </row>
    <row r="259" spans="1:19">
      <c r="A259" t="s">
        <v>1908</v>
      </c>
      <c r="B259" t="s">
        <v>1909</v>
      </c>
      <c r="C259" t="s">
        <v>1910</v>
      </c>
      <c r="D259" t="s">
        <v>22</v>
      </c>
      <c r="E259" t="s">
        <v>1911</v>
      </c>
      <c r="F259" t="s">
        <v>1912</v>
      </c>
      <c r="G259" t="s">
        <v>1913</v>
      </c>
      <c r="H259" t="s">
        <v>1858</v>
      </c>
      <c r="I259" t="s">
        <v>1877</v>
      </c>
      <c r="J259" s="2">
        <v>150000</v>
      </c>
      <c r="K259" s="3">
        <v>44929</v>
      </c>
      <c r="L259" t="s">
        <v>28</v>
      </c>
      <c r="M259" t="s">
        <v>1914</v>
      </c>
      <c r="N259" t="s">
        <v>73</v>
      </c>
      <c r="O259" s="2">
        <f t="shared" si="8"/>
        <v>150000</v>
      </c>
      <c r="P259" s="2">
        <f t="shared" si="9"/>
        <v>1800000</v>
      </c>
      <c r="Q259" s="13" t="s">
        <v>137</v>
      </c>
      <c r="R259" s="9" t="s">
        <v>1887</v>
      </c>
      <c r="S259" s="3">
        <v>30874</v>
      </c>
    </row>
    <row r="260" spans="1:19" ht="27.6">
      <c r="A260" t="s">
        <v>1915</v>
      </c>
      <c r="B260" t="s">
        <v>1916</v>
      </c>
      <c r="C260" t="s">
        <v>1917</v>
      </c>
      <c r="D260" t="s">
        <v>22</v>
      </c>
      <c r="E260" t="s">
        <v>1918</v>
      </c>
      <c r="F260" t="s">
        <v>1919</v>
      </c>
      <c r="G260" t="s">
        <v>1920</v>
      </c>
      <c r="H260" t="s">
        <v>1858</v>
      </c>
      <c r="I260" t="s">
        <v>1885</v>
      </c>
      <c r="J260" s="2">
        <v>98000</v>
      </c>
      <c r="K260" s="3">
        <v>44938</v>
      </c>
      <c r="L260" t="s">
        <v>28</v>
      </c>
      <c r="M260" t="s">
        <v>1921</v>
      </c>
      <c r="N260" t="s">
        <v>73</v>
      </c>
      <c r="O260" s="2">
        <f t="shared" si="8"/>
        <v>98000</v>
      </c>
      <c r="P260" s="2">
        <f t="shared" si="9"/>
        <v>1176000</v>
      </c>
      <c r="Q260" s="13" t="s">
        <v>618</v>
      </c>
      <c r="R260" s="9" t="s">
        <v>1680</v>
      </c>
      <c r="S260" s="3">
        <v>33594</v>
      </c>
    </row>
    <row r="261" spans="1:19">
      <c r="A261" t="s">
        <v>1922</v>
      </c>
      <c r="B261" t="s">
        <v>328</v>
      </c>
      <c r="C261" t="s">
        <v>1923</v>
      </c>
      <c r="D261" t="s">
        <v>22</v>
      </c>
      <c r="E261" t="s">
        <v>1924</v>
      </c>
      <c r="F261" t="s">
        <v>1925</v>
      </c>
      <c r="G261" t="s">
        <v>1926</v>
      </c>
      <c r="H261" t="s">
        <v>1858</v>
      </c>
      <c r="I261" t="s">
        <v>1894</v>
      </c>
      <c r="J261" s="2">
        <v>119000</v>
      </c>
      <c r="K261" s="3">
        <v>44947</v>
      </c>
      <c r="L261" t="s">
        <v>28</v>
      </c>
      <c r="M261" t="s">
        <v>1927</v>
      </c>
      <c r="N261" t="s">
        <v>73</v>
      </c>
      <c r="O261" s="2">
        <f t="shared" si="8"/>
        <v>119000</v>
      </c>
      <c r="P261" s="2">
        <f t="shared" si="9"/>
        <v>1428000</v>
      </c>
      <c r="Q261" s="13" t="s">
        <v>1869</v>
      </c>
      <c r="R261" s="9" t="s">
        <v>1870</v>
      </c>
      <c r="S261" s="3">
        <v>35920</v>
      </c>
    </row>
    <row r="262" spans="1:19" ht="27.6">
      <c r="A262" t="s">
        <v>1928</v>
      </c>
      <c r="B262" t="s">
        <v>1929</v>
      </c>
      <c r="C262" t="s">
        <v>1930</v>
      </c>
      <c r="D262" t="s">
        <v>22</v>
      </c>
      <c r="E262" t="s">
        <v>1931</v>
      </c>
      <c r="F262" t="s">
        <v>1932</v>
      </c>
      <c r="G262" t="s">
        <v>1933</v>
      </c>
      <c r="H262" t="s">
        <v>1858</v>
      </c>
      <c r="I262" t="s">
        <v>1859</v>
      </c>
      <c r="J262" s="2">
        <v>101000</v>
      </c>
      <c r="K262" s="3">
        <v>44956</v>
      </c>
      <c r="L262" t="s">
        <v>28</v>
      </c>
      <c r="M262" t="s">
        <v>1934</v>
      </c>
      <c r="N262" t="s">
        <v>41</v>
      </c>
      <c r="O262" s="2">
        <f t="shared" si="8"/>
        <v>101000</v>
      </c>
      <c r="P262" s="2">
        <f t="shared" si="9"/>
        <v>1212000</v>
      </c>
      <c r="Q262" s="13" t="s">
        <v>31</v>
      </c>
      <c r="R262" s="9" t="s">
        <v>1699</v>
      </c>
      <c r="S262" s="3">
        <v>28049</v>
      </c>
    </row>
    <row r="263" spans="1:19" ht="27.6">
      <c r="A263" t="s">
        <v>1935</v>
      </c>
      <c r="B263" t="s">
        <v>1936</v>
      </c>
      <c r="C263" t="s">
        <v>1937</v>
      </c>
      <c r="D263" t="s">
        <v>22</v>
      </c>
      <c r="E263" t="s">
        <v>1938</v>
      </c>
      <c r="F263" t="s">
        <v>1939</v>
      </c>
      <c r="G263" t="s">
        <v>1940</v>
      </c>
      <c r="H263" t="s">
        <v>1858</v>
      </c>
      <c r="I263" t="s">
        <v>1867</v>
      </c>
      <c r="J263" s="2">
        <v>96000</v>
      </c>
      <c r="K263" s="3">
        <v>44965</v>
      </c>
      <c r="L263" t="s">
        <v>28</v>
      </c>
      <c r="M263" t="s">
        <v>1941</v>
      </c>
      <c r="N263" t="s">
        <v>98</v>
      </c>
      <c r="O263" s="2">
        <f t="shared" si="8"/>
        <v>96000</v>
      </c>
      <c r="P263" s="2">
        <f t="shared" si="9"/>
        <v>1152000</v>
      </c>
      <c r="Q263" s="13" t="s">
        <v>167</v>
      </c>
      <c r="R263" s="9" t="s">
        <v>1887</v>
      </c>
      <c r="S263" s="3">
        <v>30402</v>
      </c>
    </row>
    <row r="264" spans="1:19" ht="27.6">
      <c r="A264" t="s">
        <v>1942</v>
      </c>
      <c r="B264" t="s">
        <v>1943</v>
      </c>
      <c r="C264" t="s">
        <v>1944</v>
      </c>
      <c r="D264" t="s">
        <v>22</v>
      </c>
      <c r="E264" t="s">
        <v>1945</v>
      </c>
      <c r="F264" t="s">
        <v>1946</v>
      </c>
      <c r="G264" t="s">
        <v>1947</v>
      </c>
      <c r="H264" t="s">
        <v>1858</v>
      </c>
      <c r="I264" t="s">
        <v>1877</v>
      </c>
      <c r="J264" s="2">
        <v>96000</v>
      </c>
      <c r="K264" s="3">
        <v>44974</v>
      </c>
      <c r="L264" t="s">
        <v>28</v>
      </c>
      <c r="M264" t="s">
        <v>1948</v>
      </c>
      <c r="N264" t="s">
        <v>52</v>
      </c>
      <c r="O264" s="2">
        <f t="shared" si="8"/>
        <v>96000</v>
      </c>
      <c r="P264" s="2">
        <f t="shared" si="9"/>
        <v>1152000</v>
      </c>
      <c r="Q264" s="13" t="s">
        <v>618</v>
      </c>
      <c r="R264" s="9" t="s">
        <v>1680</v>
      </c>
      <c r="S264" s="3">
        <v>33095</v>
      </c>
    </row>
    <row r="265" spans="1:19">
      <c r="A265" t="s">
        <v>1949</v>
      </c>
      <c r="B265" t="s">
        <v>1950</v>
      </c>
      <c r="C265" t="s">
        <v>1951</v>
      </c>
      <c r="D265" t="s">
        <v>22</v>
      </c>
      <c r="E265" t="s">
        <v>1952</v>
      </c>
      <c r="F265" t="s">
        <v>1953</v>
      </c>
      <c r="G265" t="s">
        <v>1954</v>
      </c>
      <c r="H265" t="s">
        <v>1858</v>
      </c>
      <c r="I265" t="s">
        <v>1885</v>
      </c>
      <c r="J265" s="2">
        <v>155000</v>
      </c>
      <c r="K265" s="3">
        <v>44983</v>
      </c>
      <c r="L265" t="s">
        <v>28</v>
      </c>
      <c r="M265" t="s">
        <v>1955</v>
      </c>
      <c r="N265" t="s">
        <v>73</v>
      </c>
      <c r="O265" s="2">
        <f t="shared" si="8"/>
        <v>155000</v>
      </c>
      <c r="P265" s="2">
        <f t="shared" si="9"/>
        <v>1860000</v>
      </c>
      <c r="Q265" s="13" t="s">
        <v>1869</v>
      </c>
      <c r="R265" s="9" t="s">
        <v>1870</v>
      </c>
      <c r="S265" s="3">
        <v>35451</v>
      </c>
    </row>
    <row r="266" spans="1:19" ht="27.6">
      <c r="A266" t="s">
        <v>1956</v>
      </c>
      <c r="B266" t="s">
        <v>1957</v>
      </c>
      <c r="C266" t="s">
        <v>1958</v>
      </c>
      <c r="D266" t="s">
        <v>22</v>
      </c>
      <c r="E266" t="s">
        <v>1959</v>
      </c>
      <c r="F266" t="s">
        <v>1960</v>
      </c>
      <c r="G266" t="s">
        <v>1961</v>
      </c>
      <c r="H266" t="s">
        <v>1858</v>
      </c>
      <c r="I266" t="s">
        <v>1894</v>
      </c>
      <c r="J266" s="2">
        <v>73000</v>
      </c>
      <c r="K266" s="3">
        <v>44992</v>
      </c>
      <c r="L266" t="s">
        <v>28</v>
      </c>
      <c r="M266" t="s">
        <v>1962</v>
      </c>
      <c r="N266" t="s">
        <v>52</v>
      </c>
      <c r="O266" s="2">
        <f t="shared" si="8"/>
        <v>73000</v>
      </c>
      <c r="P266" s="2">
        <f t="shared" si="9"/>
        <v>876000</v>
      </c>
      <c r="Q266" s="13" t="s">
        <v>74</v>
      </c>
      <c r="R266" s="9" t="s">
        <v>1699</v>
      </c>
      <c r="S266" s="3">
        <v>38142</v>
      </c>
    </row>
    <row r="267" spans="1:19" ht="27.6">
      <c r="A267" t="s">
        <v>1963</v>
      </c>
      <c r="B267" t="s">
        <v>1964</v>
      </c>
      <c r="C267" t="s">
        <v>1965</v>
      </c>
      <c r="D267" t="s">
        <v>22</v>
      </c>
      <c r="E267" t="s">
        <v>1966</v>
      </c>
      <c r="F267" t="s">
        <v>1967</v>
      </c>
      <c r="G267" t="s">
        <v>1968</v>
      </c>
      <c r="H267" t="s">
        <v>1858</v>
      </c>
      <c r="I267" t="s">
        <v>1859</v>
      </c>
      <c r="J267" s="2">
        <v>84000</v>
      </c>
      <c r="K267" s="3">
        <v>45001</v>
      </c>
      <c r="L267" t="s">
        <v>28</v>
      </c>
      <c r="M267" t="s">
        <v>1969</v>
      </c>
      <c r="N267" t="s">
        <v>41</v>
      </c>
      <c r="O267" s="2">
        <f t="shared" si="8"/>
        <v>84000</v>
      </c>
      <c r="P267" s="2">
        <f t="shared" si="9"/>
        <v>1008000</v>
      </c>
      <c r="Q267" s="13" t="s">
        <v>31</v>
      </c>
      <c r="R267" s="9" t="s">
        <v>1887</v>
      </c>
      <c r="S267" s="3">
        <v>30270</v>
      </c>
    </row>
    <row r="268" spans="1:19" ht="27.6">
      <c r="A268" t="s">
        <v>1970</v>
      </c>
      <c r="B268" t="s">
        <v>1971</v>
      </c>
      <c r="C268" t="s">
        <v>1972</v>
      </c>
      <c r="D268" t="s">
        <v>22</v>
      </c>
      <c r="E268" t="s">
        <v>1973</v>
      </c>
      <c r="F268" t="s">
        <v>1974</v>
      </c>
      <c r="G268" t="s">
        <v>1975</v>
      </c>
      <c r="H268" t="s">
        <v>1858</v>
      </c>
      <c r="I268" t="s">
        <v>1867</v>
      </c>
      <c r="J268" s="2">
        <v>130000</v>
      </c>
      <c r="K268" s="3">
        <v>45010</v>
      </c>
      <c r="L268" t="s">
        <v>28</v>
      </c>
      <c r="M268" t="s">
        <v>1976</v>
      </c>
      <c r="N268" t="s">
        <v>106</v>
      </c>
      <c r="O268" s="2">
        <f t="shared" si="8"/>
        <v>130000</v>
      </c>
      <c r="P268" s="2">
        <f t="shared" si="9"/>
        <v>1560000</v>
      </c>
      <c r="Q268" s="13" t="s">
        <v>618</v>
      </c>
      <c r="R268" s="9" t="s">
        <v>1680</v>
      </c>
      <c r="S268" s="3">
        <v>32624</v>
      </c>
    </row>
    <row r="269" spans="1:19">
      <c r="A269" t="s">
        <v>1977</v>
      </c>
      <c r="B269" t="s">
        <v>1978</v>
      </c>
      <c r="C269" t="s">
        <v>1772</v>
      </c>
      <c r="D269" t="s">
        <v>22</v>
      </c>
      <c r="E269" t="s">
        <v>1979</v>
      </c>
      <c r="F269" t="s">
        <v>1980</v>
      </c>
      <c r="G269" t="s">
        <v>1981</v>
      </c>
      <c r="H269" t="s">
        <v>1858</v>
      </c>
      <c r="I269" t="s">
        <v>1877</v>
      </c>
      <c r="J269" s="2">
        <v>133000</v>
      </c>
      <c r="K269" s="3">
        <v>45019</v>
      </c>
      <c r="L269" t="s">
        <v>28</v>
      </c>
      <c r="M269" t="s">
        <v>1982</v>
      </c>
      <c r="N269" t="s">
        <v>98</v>
      </c>
      <c r="O269" s="2">
        <f t="shared" si="8"/>
        <v>133000</v>
      </c>
      <c r="P269" s="2">
        <f t="shared" si="9"/>
        <v>1596000</v>
      </c>
      <c r="Q269" s="13" t="s">
        <v>1869</v>
      </c>
      <c r="R269" s="9" t="s">
        <v>1870</v>
      </c>
      <c r="S269" s="3">
        <v>35317</v>
      </c>
    </row>
    <row r="270" spans="1:19">
      <c r="A270" t="s">
        <v>1983</v>
      </c>
      <c r="B270" t="s">
        <v>1984</v>
      </c>
      <c r="C270" t="s">
        <v>1985</v>
      </c>
      <c r="D270" t="s">
        <v>22</v>
      </c>
      <c r="E270" t="s">
        <v>1986</v>
      </c>
      <c r="F270" t="s">
        <v>1987</v>
      </c>
      <c r="G270" t="s">
        <v>1988</v>
      </c>
      <c r="H270" t="s">
        <v>1858</v>
      </c>
      <c r="I270" t="s">
        <v>1885</v>
      </c>
      <c r="J270" s="2">
        <v>136000</v>
      </c>
      <c r="K270" s="3">
        <v>45028</v>
      </c>
      <c r="L270" t="s">
        <v>28</v>
      </c>
      <c r="M270" t="s">
        <v>1989</v>
      </c>
      <c r="N270" t="s">
        <v>52</v>
      </c>
      <c r="O270" s="2">
        <f t="shared" si="8"/>
        <v>136000</v>
      </c>
      <c r="P270" s="2">
        <f t="shared" si="9"/>
        <v>1632000</v>
      </c>
      <c r="Q270" s="13" t="s">
        <v>107</v>
      </c>
      <c r="R270" s="9" t="s">
        <v>1699</v>
      </c>
      <c r="S270" s="3">
        <v>37672</v>
      </c>
    </row>
    <row r="271" spans="1:19" ht="27.6">
      <c r="A271" t="s">
        <v>1990</v>
      </c>
      <c r="B271" t="s">
        <v>1991</v>
      </c>
      <c r="C271" t="s">
        <v>1992</v>
      </c>
      <c r="D271" t="s">
        <v>22</v>
      </c>
      <c r="E271" t="s">
        <v>1993</v>
      </c>
      <c r="F271" t="s">
        <v>1994</v>
      </c>
      <c r="G271" t="s">
        <v>1995</v>
      </c>
      <c r="H271" t="s">
        <v>1858</v>
      </c>
      <c r="I271" t="s">
        <v>1894</v>
      </c>
      <c r="J271" s="2">
        <v>115000</v>
      </c>
      <c r="K271" s="3">
        <v>45037</v>
      </c>
      <c r="L271" t="s">
        <v>28</v>
      </c>
      <c r="M271" t="s">
        <v>1996</v>
      </c>
      <c r="N271" t="s">
        <v>82</v>
      </c>
      <c r="O271" s="2">
        <f t="shared" si="8"/>
        <v>115000</v>
      </c>
      <c r="P271" s="2">
        <f t="shared" si="9"/>
        <v>1380000</v>
      </c>
      <c r="Q271" s="13" t="s">
        <v>74</v>
      </c>
      <c r="R271" s="9" t="s">
        <v>1887</v>
      </c>
      <c r="S271" s="3">
        <v>29770</v>
      </c>
    </row>
    <row r="272" spans="1:19" ht="27.6">
      <c r="A272" t="s">
        <v>1997</v>
      </c>
      <c r="B272" t="s">
        <v>1998</v>
      </c>
      <c r="C272" t="s">
        <v>1999</v>
      </c>
      <c r="D272" t="s">
        <v>22</v>
      </c>
      <c r="E272" t="s">
        <v>2000</v>
      </c>
      <c r="F272" t="s">
        <v>2001</v>
      </c>
      <c r="G272" t="s">
        <v>2002</v>
      </c>
      <c r="H272" t="s">
        <v>1858</v>
      </c>
      <c r="I272" t="s">
        <v>1859</v>
      </c>
      <c r="J272" s="2">
        <v>116000</v>
      </c>
      <c r="K272" s="3">
        <v>45046</v>
      </c>
      <c r="L272" t="s">
        <v>28</v>
      </c>
      <c r="M272" t="s">
        <v>2003</v>
      </c>
      <c r="N272" t="s">
        <v>41</v>
      </c>
      <c r="O272" s="2">
        <f t="shared" si="8"/>
        <v>116000</v>
      </c>
      <c r="P272" s="2">
        <f t="shared" si="9"/>
        <v>1392000</v>
      </c>
      <c r="Q272" s="13" t="s">
        <v>618</v>
      </c>
      <c r="R272" s="9" t="s">
        <v>1680</v>
      </c>
      <c r="S272" s="3">
        <v>32491</v>
      </c>
    </row>
    <row r="273" spans="1:19">
      <c r="A273" t="s">
        <v>2004</v>
      </c>
      <c r="B273" t="s">
        <v>2005</v>
      </c>
      <c r="C273" t="s">
        <v>2006</v>
      </c>
      <c r="D273" t="s">
        <v>22</v>
      </c>
      <c r="E273" t="s">
        <v>2007</v>
      </c>
      <c r="F273" t="s">
        <v>2008</v>
      </c>
      <c r="G273" t="s">
        <v>2009</v>
      </c>
      <c r="H273" t="s">
        <v>1858</v>
      </c>
      <c r="I273" t="s">
        <v>1867</v>
      </c>
      <c r="J273" s="2">
        <v>118000</v>
      </c>
      <c r="K273" s="3">
        <v>45055</v>
      </c>
      <c r="L273" t="s">
        <v>28</v>
      </c>
      <c r="M273" t="s">
        <v>2010</v>
      </c>
      <c r="N273" t="s">
        <v>204</v>
      </c>
      <c r="O273" s="2">
        <f t="shared" si="8"/>
        <v>118000</v>
      </c>
      <c r="P273" s="2">
        <f t="shared" si="9"/>
        <v>1416000</v>
      </c>
      <c r="Q273" s="13" t="s">
        <v>1869</v>
      </c>
      <c r="R273" s="9" t="s">
        <v>1870</v>
      </c>
      <c r="S273" s="3">
        <v>34844</v>
      </c>
    </row>
    <row r="274" spans="1:19">
      <c r="A274" t="s">
        <v>2011</v>
      </c>
      <c r="B274" t="s">
        <v>2012</v>
      </c>
      <c r="C274" t="s">
        <v>2013</v>
      </c>
      <c r="D274" t="s">
        <v>22</v>
      </c>
      <c r="E274" t="s">
        <v>2014</v>
      </c>
      <c r="F274" t="s">
        <v>2015</v>
      </c>
      <c r="G274" t="s">
        <v>2016</v>
      </c>
      <c r="H274" t="s">
        <v>1858</v>
      </c>
      <c r="I274" t="s">
        <v>1877</v>
      </c>
      <c r="J274" s="2">
        <v>144000</v>
      </c>
      <c r="K274" s="3">
        <v>45064</v>
      </c>
      <c r="L274" t="s">
        <v>28</v>
      </c>
      <c r="M274" t="s">
        <v>2017</v>
      </c>
      <c r="N274" t="s">
        <v>30</v>
      </c>
      <c r="O274" s="2">
        <f t="shared" si="8"/>
        <v>144000</v>
      </c>
      <c r="P274" s="2">
        <f t="shared" si="9"/>
        <v>1728000</v>
      </c>
      <c r="Q274" s="13" t="s">
        <v>137</v>
      </c>
      <c r="R274" s="9" t="s">
        <v>1699</v>
      </c>
      <c r="S274" s="3">
        <v>37537</v>
      </c>
    </row>
    <row r="275" spans="1:19">
      <c r="A275" t="s">
        <v>2018</v>
      </c>
      <c r="B275" t="s">
        <v>2019</v>
      </c>
      <c r="C275" t="s">
        <v>2020</v>
      </c>
      <c r="D275" t="s">
        <v>22</v>
      </c>
      <c r="E275" t="s">
        <v>2021</v>
      </c>
      <c r="F275" t="s">
        <v>2022</v>
      </c>
      <c r="G275" t="s">
        <v>2023</v>
      </c>
      <c r="H275" t="s">
        <v>1858</v>
      </c>
      <c r="I275" t="s">
        <v>1885</v>
      </c>
      <c r="J275" s="2">
        <v>99000</v>
      </c>
      <c r="K275" s="3">
        <v>45073</v>
      </c>
      <c r="L275" t="s">
        <v>218</v>
      </c>
      <c r="M275" t="s">
        <v>2024</v>
      </c>
      <c r="N275" t="s">
        <v>106</v>
      </c>
      <c r="O275" s="2">
        <f t="shared" si="8"/>
        <v>99000</v>
      </c>
      <c r="P275" s="2">
        <f t="shared" si="9"/>
        <v>1188000</v>
      </c>
      <c r="Q275" s="13" t="s">
        <v>107</v>
      </c>
      <c r="R275" s="9" t="s">
        <v>1887</v>
      </c>
      <c r="S275" s="3">
        <v>29299</v>
      </c>
    </row>
    <row r="276" spans="1:19" ht="27.6">
      <c r="A276" t="s">
        <v>2025</v>
      </c>
      <c r="B276" t="s">
        <v>1201</v>
      </c>
      <c r="C276" t="s">
        <v>2026</v>
      </c>
      <c r="D276" t="s">
        <v>22</v>
      </c>
      <c r="E276" t="s">
        <v>2027</v>
      </c>
      <c r="F276" t="s">
        <v>2028</v>
      </c>
      <c r="G276" t="s">
        <v>2029</v>
      </c>
      <c r="H276" t="s">
        <v>1858</v>
      </c>
      <c r="I276" t="s">
        <v>1894</v>
      </c>
      <c r="J276" s="2">
        <v>127000</v>
      </c>
      <c r="K276" s="3">
        <v>45082</v>
      </c>
      <c r="L276" t="s">
        <v>218</v>
      </c>
      <c r="M276" t="s">
        <v>2030</v>
      </c>
      <c r="N276" t="s">
        <v>82</v>
      </c>
      <c r="O276" s="2">
        <f t="shared" si="8"/>
        <v>127000</v>
      </c>
      <c r="P276" s="2">
        <f t="shared" si="9"/>
        <v>1524000</v>
      </c>
      <c r="Q276" s="13" t="s">
        <v>618</v>
      </c>
      <c r="R276" s="9" t="s">
        <v>1680</v>
      </c>
      <c r="S276" s="3">
        <v>31991</v>
      </c>
    </row>
    <row r="277" spans="1:19">
      <c r="A277" t="s">
        <v>2031</v>
      </c>
      <c r="B277" t="s">
        <v>2032</v>
      </c>
      <c r="C277" t="s">
        <v>1077</v>
      </c>
      <c r="D277" t="s">
        <v>22</v>
      </c>
      <c r="E277" t="s">
        <v>2033</v>
      </c>
      <c r="F277" t="s">
        <v>2034</v>
      </c>
      <c r="G277" t="s">
        <v>2035</v>
      </c>
      <c r="H277" t="s">
        <v>2036</v>
      </c>
      <c r="I277" t="s">
        <v>2037</v>
      </c>
      <c r="J277" s="2">
        <v>47000</v>
      </c>
      <c r="K277" s="3">
        <v>45091</v>
      </c>
      <c r="L277" t="s">
        <v>28</v>
      </c>
      <c r="M277" t="s">
        <v>2038</v>
      </c>
      <c r="N277" t="s">
        <v>41</v>
      </c>
      <c r="O277" s="2">
        <f t="shared" si="8"/>
        <v>47000</v>
      </c>
      <c r="P277" s="2">
        <f t="shared" si="9"/>
        <v>564000</v>
      </c>
      <c r="Q277" s="13" t="s">
        <v>152</v>
      </c>
      <c r="R277" s="9" t="s">
        <v>54</v>
      </c>
      <c r="S277" s="3">
        <v>34347</v>
      </c>
    </row>
    <row r="278" spans="1:19" ht="27.6">
      <c r="A278" t="s">
        <v>2039</v>
      </c>
      <c r="B278" t="s">
        <v>2040</v>
      </c>
      <c r="C278" t="s">
        <v>2041</v>
      </c>
      <c r="D278" t="s">
        <v>22</v>
      </c>
      <c r="E278" t="s">
        <v>2042</v>
      </c>
      <c r="F278" t="s">
        <v>2043</v>
      </c>
      <c r="G278" t="s">
        <v>2044</v>
      </c>
      <c r="H278" t="s">
        <v>2036</v>
      </c>
      <c r="I278" t="s">
        <v>2045</v>
      </c>
      <c r="J278" s="2">
        <v>103000</v>
      </c>
      <c r="K278" s="3">
        <v>45100</v>
      </c>
      <c r="L278" t="s">
        <v>28</v>
      </c>
      <c r="M278" t="s">
        <v>2046</v>
      </c>
      <c r="N278" t="s">
        <v>98</v>
      </c>
      <c r="O278" s="2">
        <f t="shared" si="8"/>
        <v>103000</v>
      </c>
      <c r="P278" s="2">
        <f t="shared" si="9"/>
        <v>1236000</v>
      </c>
      <c r="Q278" s="13" t="s">
        <v>31</v>
      </c>
      <c r="R278" s="9" t="s">
        <v>436</v>
      </c>
      <c r="S278" s="3">
        <v>37066</v>
      </c>
    </row>
    <row r="279" spans="1:19">
      <c r="A279" t="s">
        <v>2047</v>
      </c>
      <c r="B279" t="s">
        <v>2048</v>
      </c>
      <c r="C279" t="s">
        <v>2049</v>
      </c>
      <c r="D279" t="s">
        <v>22</v>
      </c>
      <c r="E279" t="s">
        <v>2050</v>
      </c>
      <c r="F279" t="s">
        <v>2051</v>
      </c>
      <c r="G279" t="s">
        <v>2052</v>
      </c>
      <c r="H279" t="s">
        <v>2036</v>
      </c>
      <c r="I279" t="s">
        <v>2053</v>
      </c>
      <c r="J279" s="2">
        <v>102000</v>
      </c>
      <c r="K279" s="3">
        <v>45109</v>
      </c>
      <c r="L279" t="s">
        <v>28</v>
      </c>
      <c r="M279" t="s">
        <v>2054</v>
      </c>
      <c r="N279" t="s">
        <v>106</v>
      </c>
      <c r="O279" s="2">
        <f t="shared" si="8"/>
        <v>102000</v>
      </c>
      <c r="P279" s="2">
        <f t="shared" si="9"/>
        <v>1224000</v>
      </c>
      <c r="Q279" s="13" t="s">
        <v>2055</v>
      </c>
      <c r="R279" s="9" t="s">
        <v>2056</v>
      </c>
      <c r="S279" s="3">
        <v>29166</v>
      </c>
    </row>
    <row r="280" spans="1:19">
      <c r="A280" t="s">
        <v>2057</v>
      </c>
      <c r="B280" t="s">
        <v>468</v>
      </c>
      <c r="C280" t="s">
        <v>2058</v>
      </c>
      <c r="D280" t="s">
        <v>22</v>
      </c>
      <c r="E280" t="s">
        <v>2059</v>
      </c>
      <c r="F280" t="s">
        <v>2060</v>
      </c>
      <c r="G280" t="s">
        <v>2061</v>
      </c>
      <c r="H280" t="s">
        <v>2036</v>
      </c>
      <c r="I280" t="s">
        <v>2062</v>
      </c>
      <c r="J280" s="2">
        <v>74000</v>
      </c>
      <c r="K280" s="3">
        <v>45118</v>
      </c>
      <c r="L280" t="s">
        <v>28</v>
      </c>
      <c r="M280" t="s">
        <v>2063</v>
      </c>
      <c r="N280" t="s">
        <v>98</v>
      </c>
      <c r="O280" s="2">
        <f t="shared" si="8"/>
        <v>74000</v>
      </c>
      <c r="P280" s="2">
        <f t="shared" si="9"/>
        <v>888000</v>
      </c>
      <c r="Q280" s="13" t="s">
        <v>137</v>
      </c>
      <c r="R280" s="9" t="s">
        <v>427</v>
      </c>
      <c r="S280" s="3">
        <v>31520</v>
      </c>
    </row>
    <row r="281" spans="1:19" ht="27.6">
      <c r="A281" t="s">
        <v>2064</v>
      </c>
      <c r="B281" t="s">
        <v>2065</v>
      </c>
      <c r="C281" t="s">
        <v>2066</v>
      </c>
      <c r="D281" t="s">
        <v>22</v>
      </c>
      <c r="E281" t="s">
        <v>2067</v>
      </c>
      <c r="F281" t="s">
        <v>2068</v>
      </c>
      <c r="G281" t="s">
        <v>2069</v>
      </c>
      <c r="H281" t="s">
        <v>2036</v>
      </c>
      <c r="I281" t="s">
        <v>2070</v>
      </c>
      <c r="J281" s="2">
        <v>80000</v>
      </c>
      <c r="K281" s="3">
        <v>45127</v>
      </c>
      <c r="L281" t="s">
        <v>28</v>
      </c>
      <c r="M281" t="s">
        <v>2071</v>
      </c>
      <c r="N281" t="s">
        <v>73</v>
      </c>
      <c r="O281" s="2">
        <f t="shared" si="8"/>
        <v>80000</v>
      </c>
      <c r="P281" s="2">
        <f t="shared" si="9"/>
        <v>960000</v>
      </c>
      <c r="Q281" s="13" t="s">
        <v>182</v>
      </c>
      <c r="R281" s="9" t="s">
        <v>54</v>
      </c>
      <c r="S281" s="3">
        <v>34213</v>
      </c>
    </row>
    <row r="282" spans="1:19" ht="27.6">
      <c r="A282" t="s">
        <v>2072</v>
      </c>
      <c r="B282" t="s">
        <v>2073</v>
      </c>
      <c r="C282" t="s">
        <v>2074</v>
      </c>
      <c r="D282" t="s">
        <v>22</v>
      </c>
      <c r="E282" t="s">
        <v>2075</v>
      </c>
      <c r="F282" t="s">
        <v>2076</v>
      </c>
      <c r="G282" t="s">
        <v>2077</v>
      </c>
      <c r="H282" t="s">
        <v>2036</v>
      </c>
      <c r="I282" t="s">
        <v>2037</v>
      </c>
      <c r="J282" s="2">
        <v>96000</v>
      </c>
      <c r="K282" s="3">
        <v>45136</v>
      </c>
      <c r="L282" t="s">
        <v>28</v>
      </c>
      <c r="M282" t="s">
        <v>2078</v>
      </c>
      <c r="N282" t="s">
        <v>204</v>
      </c>
      <c r="O282" s="2">
        <f t="shared" si="8"/>
        <v>96000</v>
      </c>
      <c r="P282" s="2">
        <f t="shared" si="9"/>
        <v>1152000</v>
      </c>
      <c r="Q282" s="13" t="s">
        <v>74</v>
      </c>
      <c r="R282" s="9" t="s">
        <v>436</v>
      </c>
      <c r="S282" s="3">
        <v>36568</v>
      </c>
    </row>
    <row r="283" spans="1:19">
      <c r="A283" t="s">
        <v>2079</v>
      </c>
      <c r="B283" t="s">
        <v>2080</v>
      </c>
      <c r="C283" t="s">
        <v>2081</v>
      </c>
      <c r="D283" t="s">
        <v>22</v>
      </c>
      <c r="E283" t="s">
        <v>2082</v>
      </c>
      <c r="F283" t="s">
        <v>2083</v>
      </c>
      <c r="G283" t="s">
        <v>2084</v>
      </c>
      <c r="H283" t="s">
        <v>2036</v>
      </c>
      <c r="I283" t="s">
        <v>2045</v>
      </c>
      <c r="J283" s="2">
        <v>102000</v>
      </c>
      <c r="K283" s="3">
        <v>45145</v>
      </c>
      <c r="L283" t="s">
        <v>28</v>
      </c>
      <c r="M283" t="s">
        <v>2085</v>
      </c>
      <c r="N283" t="s">
        <v>82</v>
      </c>
      <c r="O283" s="2">
        <f t="shared" si="8"/>
        <v>102000</v>
      </c>
      <c r="P283" s="2">
        <f t="shared" si="9"/>
        <v>1224000</v>
      </c>
      <c r="Q283" s="13" t="s">
        <v>2055</v>
      </c>
      <c r="R283" s="9" t="s">
        <v>2056</v>
      </c>
      <c r="S283" s="3">
        <v>28694</v>
      </c>
    </row>
    <row r="284" spans="1:19" ht="27.6">
      <c r="A284" t="s">
        <v>2086</v>
      </c>
      <c r="B284" t="s">
        <v>2087</v>
      </c>
      <c r="C284" t="s">
        <v>2088</v>
      </c>
      <c r="D284" t="s">
        <v>22</v>
      </c>
      <c r="E284" t="s">
        <v>2089</v>
      </c>
      <c r="F284" t="s">
        <v>2090</v>
      </c>
      <c r="G284" t="s">
        <v>2091</v>
      </c>
      <c r="H284" t="s">
        <v>2036</v>
      </c>
      <c r="I284" t="s">
        <v>2053</v>
      </c>
      <c r="J284" s="2">
        <v>129000</v>
      </c>
      <c r="K284" s="3">
        <v>45154</v>
      </c>
      <c r="L284" t="s">
        <v>28</v>
      </c>
      <c r="M284" t="s">
        <v>2092</v>
      </c>
      <c r="N284" t="s">
        <v>82</v>
      </c>
      <c r="O284" s="2">
        <f t="shared" si="8"/>
        <v>129000</v>
      </c>
      <c r="P284" s="2">
        <f t="shared" si="9"/>
        <v>1548000</v>
      </c>
      <c r="Q284" s="13" t="s">
        <v>167</v>
      </c>
      <c r="R284" s="9" t="s">
        <v>427</v>
      </c>
      <c r="S284" s="3">
        <v>31387</v>
      </c>
    </row>
    <row r="285" spans="1:19">
      <c r="A285" t="s">
        <v>2093</v>
      </c>
      <c r="B285" t="s">
        <v>2094</v>
      </c>
      <c r="C285" t="s">
        <v>2095</v>
      </c>
      <c r="D285" t="s">
        <v>22</v>
      </c>
      <c r="E285" t="s">
        <v>2096</v>
      </c>
      <c r="F285" t="s">
        <v>2097</v>
      </c>
      <c r="G285" t="s">
        <v>2098</v>
      </c>
      <c r="H285" t="s">
        <v>2036</v>
      </c>
      <c r="I285" t="s">
        <v>2062</v>
      </c>
      <c r="J285" s="2">
        <v>52000</v>
      </c>
      <c r="K285" s="3">
        <v>45163</v>
      </c>
      <c r="L285" t="s">
        <v>28</v>
      </c>
      <c r="M285" t="s">
        <v>2099</v>
      </c>
      <c r="N285" t="s">
        <v>41</v>
      </c>
      <c r="O285" s="2">
        <f t="shared" si="8"/>
        <v>52000</v>
      </c>
      <c r="P285" s="2">
        <f t="shared" si="9"/>
        <v>624000</v>
      </c>
      <c r="Q285" s="13" t="s">
        <v>53</v>
      </c>
      <c r="R285" s="9" t="s">
        <v>54</v>
      </c>
      <c r="S285" s="3">
        <v>33741</v>
      </c>
    </row>
    <row r="286" spans="1:19">
      <c r="A286" t="s">
        <v>2100</v>
      </c>
      <c r="B286" t="s">
        <v>2101</v>
      </c>
      <c r="C286" t="s">
        <v>76</v>
      </c>
      <c r="D286" t="s">
        <v>22</v>
      </c>
      <c r="E286" t="s">
        <v>2102</v>
      </c>
      <c r="F286" t="s">
        <v>2103</v>
      </c>
      <c r="G286" t="s">
        <v>2104</v>
      </c>
      <c r="H286" t="s">
        <v>2036</v>
      </c>
      <c r="I286" t="s">
        <v>2070</v>
      </c>
      <c r="J286" s="2">
        <v>95000</v>
      </c>
      <c r="K286" s="3">
        <v>45172</v>
      </c>
      <c r="L286" t="s">
        <v>28</v>
      </c>
      <c r="M286" t="s">
        <v>2105</v>
      </c>
      <c r="N286" t="s">
        <v>82</v>
      </c>
      <c r="O286" s="2">
        <f t="shared" si="8"/>
        <v>95000</v>
      </c>
      <c r="P286" s="2">
        <f t="shared" si="9"/>
        <v>1140000</v>
      </c>
      <c r="Q286" s="13" t="s">
        <v>107</v>
      </c>
      <c r="R286" s="9" t="s">
        <v>436</v>
      </c>
      <c r="S286" s="3">
        <v>36461</v>
      </c>
    </row>
    <row r="287" spans="1:19">
      <c r="A287" t="s">
        <v>2106</v>
      </c>
      <c r="B287" t="s">
        <v>2107</v>
      </c>
      <c r="C287" t="s">
        <v>2108</v>
      </c>
      <c r="D287" t="s">
        <v>22</v>
      </c>
      <c r="E287" t="s">
        <v>2109</v>
      </c>
      <c r="F287" t="s">
        <v>2110</v>
      </c>
      <c r="G287" t="s">
        <v>2111</v>
      </c>
      <c r="H287" t="s">
        <v>2036</v>
      </c>
      <c r="I287" t="s">
        <v>2037</v>
      </c>
      <c r="J287" s="2">
        <v>122000</v>
      </c>
      <c r="K287" s="3">
        <v>45181</v>
      </c>
      <c r="L287" t="s">
        <v>28</v>
      </c>
      <c r="M287" t="s">
        <v>2112</v>
      </c>
      <c r="N287" t="s">
        <v>98</v>
      </c>
      <c r="O287" s="2">
        <f t="shared" si="8"/>
        <v>122000</v>
      </c>
      <c r="P287" s="2">
        <f t="shared" si="9"/>
        <v>1464000</v>
      </c>
      <c r="Q287" s="13" t="s">
        <v>2055</v>
      </c>
      <c r="R287" s="9" t="s">
        <v>2056</v>
      </c>
      <c r="S287" s="3">
        <v>28195</v>
      </c>
    </row>
    <row r="288" spans="1:19" ht="27.6">
      <c r="A288" t="s">
        <v>2113</v>
      </c>
      <c r="B288" t="s">
        <v>2114</v>
      </c>
      <c r="C288" t="s">
        <v>1909</v>
      </c>
      <c r="D288" t="s">
        <v>22</v>
      </c>
      <c r="E288" t="s">
        <v>2115</v>
      </c>
      <c r="F288" t="s">
        <v>2116</v>
      </c>
      <c r="G288" t="s">
        <v>2117</v>
      </c>
      <c r="H288" t="s">
        <v>2036</v>
      </c>
      <c r="I288" t="s">
        <v>2045</v>
      </c>
      <c r="J288" s="2">
        <v>115000</v>
      </c>
      <c r="K288" s="3">
        <v>45190</v>
      </c>
      <c r="L288" t="s">
        <v>28</v>
      </c>
      <c r="M288" t="s">
        <v>2118</v>
      </c>
      <c r="N288" t="s">
        <v>204</v>
      </c>
      <c r="O288" s="2">
        <f t="shared" si="8"/>
        <v>115000</v>
      </c>
      <c r="P288" s="2">
        <f t="shared" si="9"/>
        <v>1380000</v>
      </c>
      <c r="Q288" s="13" t="s">
        <v>31</v>
      </c>
      <c r="R288" s="9" t="s">
        <v>427</v>
      </c>
      <c r="S288" s="3">
        <v>30916</v>
      </c>
    </row>
    <row r="289" spans="1:19">
      <c r="A289" t="s">
        <v>2119</v>
      </c>
      <c r="B289" t="s">
        <v>2120</v>
      </c>
      <c r="C289" t="s">
        <v>2121</v>
      </c>
      <c r="D289" t="s">
        <v>22</v>
      </c>
      <c r="E289" t="s">
        <v>2122</v>
      </c>
      <c r="F289" t="s">
        <v>2123</v>
      </c>
      <c r="G289" t="s">
        <v>2124</v>
      </c>
      <c r="H289" t="s">
        <v>2036</v>
      </c>
      <c r="I289" t="s">
        <v>2053</v>
      </c>
      <c r="J289" s="2">
        <v>86000</v>
      </c>
      <c r="K289" s="3">
        <v>45199</v>
      </c>
      <c r="L289" t="s">
        <v>28</v>
      </c>
      <c r="M289" t="s">
        <v>2125</v>
      </c>
      <c r="N289" t="s">
        <v>98</v>
      </c>
      <c r="O289" s="2">
        <f t="shared" si="8"/>
        <v>86000</v>
      </c>
      <c r="P289" s="2">
        <f t="shared" si="9"/>
        <v>1032000</v>
      </c>
      <c r="Q289" s="13" t="s">
        <v>90</v>
      </c>
      <c r="R289" s="9" t="s">
        <v>54</v>
      </c>
      <c r="S289" s="3">
        <v>33243</v>
      </c>
    </row>
    <row r="290" spans="1:19">
      <c r="A290" t="s">
        <v>2126</v>
      </c>
      <c r="B290" t="s">
        <v>2127</v>
      </c>
      <c r="C290" t="s">
        <v>2128</v>
      </c>
      <c r="D290" t="s">
        <v>22</v>
      </c>
      <c r="E290" t="s">
        <v>2129</v>
      </c>
      <c r="F290" t="s">
        <v>2130</v>
      </c>
      <c r="G290" t="s">
        <v>2131</v>
      </c>
      <c r="H290" t="s">
        <v>2036</v>
      </c>
      <c r="I290" t="s">
        <v>2062</v>
      </c>
      <c r="J290" s="2">
        <v>84000</v>
      </c>
      <c r="K290" s="3">
        <v>45208</v>
      </c>
      <c r="L290" t="s">
        <v>28</v>
      </c>
      <c r="M290" t="s">
        <v>2132</v>
      </c>
      <c r="N290" t="s">
        <v>82</v>
      </c>
      <c r="O290" s="2">
        <f t="shared" si="8"/>
        <v>84000</v>
      </c>
      <c r="P290" s="2">
        <f t="shared" si="9"/>
        <v>1008000</v>
      </c>
      <c r="Q290" s="13" t="s">
        <v>137</v>
      </c>
      <c r="R290" s="9" t="s">
        <v>436</v>
      </c>
      <c r="S290" s="3">
        <v>35962</v>
      </c>
    </row>
    <row r="291" spans="1:19">
      <c r="A291" t="s">
        <v>2133</v>
      </c>
      <c r="B291" t="s">
        <v>2134</v>
      </c>
      <c r="C291" t="s">
        <v>2135</v>
      </c>
      <c r="D291" t="s">
        <v>22</v>
      </c>
      <c r="E291" t="s">
        <v>2136</v>
      </c>
      <c r="F291" t="s">
        <v>2137</v>
      </c>
      <c r="G291" t="s">
        <v>2138</v>
      </c>
      <c r="H291" t="s">
        <v>2036</v>
      </c>
      <c r="I291" t="s">
        <v>2070</v>
      </c>
      <c r="J291" s="2">
        <v>126000</v>
      </c>
      <c r="K291" s="3">
        <v>45217</v>
      </c>
      <c r="L291" t="s">
        <v>28</v>
      </c>
      <c r="M291" t="s">
        <v>2139</v>
      </c>
      <c r="N291" t="s">
        <v>52</v>
      </c>
      <c r="O291" s="2">
        <f t="shared" si="8"/>
        <v>126000</v>
      </c>
      <c r="P291" s="2">
        <f t="shared" si="9"/>
        <v>1512000</v>
      </c>
      <c r="Q291" s="13" t="s">
        <v>2055</v>
      </c>
      <c r="R291" s="9" t="s">
        <v>2056</v>
      </c>
      <c r="S291" s="3">
        <v>28091</v>
      </c>
    </row>
    <row r="292" spans="1:19" ht="27.6">
      <c r="A292" t="s">
        <v>2140</v>
      </c>
      <c r="B292" t="s">
        <v>551</v>
      </c>
      <c r="C292" t="s">
        <v>2141</v>
      </c>
      <c r="D292" t="s">
        <v>22</v>
      </c>
      <c r="E292" t="s">
        <v>2142</v>
      </c>
      <c r="F292" t="s">
        <v>2143</v>
      </c>
      <c r="G292" t="s">
        <v>2144</v>
      </c>
      <c r="H292" t="s">
        <v>2036</v>
      </c>
      <c r="I292" t="s">
        <v>2037</v>
      </c>
      <c r="J292" s="2">
        <v>94000</v>
      </c>
      <c r="K292" s="3">
        <v>45226</v>
      </c>
      <c r="L292" t="s">
        <v>28</v>
      </c>
      <c r="M292" t="s">
        <v>2145</v>
      </c>
      <c r="N292" t="s">
        <v>73</v>
      </c>
      <c r="O292" s="2">
        <f t="shared" si="8"/>
        <v>94000</v>
      </c>
      <c r="P292" s="2">
        <f t="shared" si="9"/>
        <v>1128000</v>
      </c>
      <c r="Q292" s="13" t="s">
        <v>74</v>
      </c>
      <c r="R292" s="9" t="s">
        <v>427</v>
      </c>
      <c r="S292" s="3">
        <v>30416</v>
      </c>
    </row>
    <row r="293" spans="1:19">
      <c r="A293" t="s">
        <v>2146</v>
      </c>
      <c r="B293" t="s">
        <v>2147</v>
      </c>
      <c r="C293" t="s">
        <v>2148</v>
      </c>
      <c r="D293" t="s">
        <v>22</v>
      </c>
      <c r="E293" t="s">
        <v>2149</v>
      </c>
      <c r="F293" t="s">
        <v>2150</v>
      </c>
      <c r="G293" t="s">
        <v>2151</v>
      </c>
      <c r="H293" t="s">
        <v>2036</v>
      </c>
      <c r="I293" t="s">
        <v>2045</v>
      </c>
      <c r="J293" s="2">
        <v>109000</v>
      </c>
      <c r="K293" s="3">
        <v>45235</v>
      </c>
      <c r="L293" t="s">
        <v>28</v>
      </c>
      <c r="M293" t="s">
        <v>2152</v>
      </c>
      <c r="N293" t="s">
        <v>98</v>
      </c>
      <c r="O293" s="2">
        <f t="shared" si="8"/>
        <v>109000</v>
      </c>
      <c r="P293" s="2">
        <f t="shared" si="9"/>
        <v>1308000</v>
      </c>
      <c r="Q293" s="13" t="s">
        <v>122</v>
      </c>
      <c r="R293" s="9" t="s">
        <v>54</v>
      </c>
      <c r="S293" s="3">
        <v>33137</v>
      </c>
    </row>
    <row r="294" spans="1:19" ht="27.6">
      <c r="A294" t="s">
        <v>2153</v>
      </c>
      <c r="B294" t="s">
        <v>2154</v>
      </c>
      <c r="C294" t="s">
        <v>2155</v>
      </c>
      <c r="D294" t="s">
        <v>22</v>
      </c>
      <c r="E294" t="s">
        <v>2156</v>
      </c>
      <c r="F294" t="s">
        <v>2157</v>
      </c>
      <c r="G294" t="s">
        <v>2158</v>
      </c>
      <c r="H294" t="s">
        <v>2036</v>
      </c>
      <c r="I294" t="s">
        <v>2053</v>
      </c>
      <c r="J294" s="2">
        <v>119000</v>
      </c>
      <c r="K294" s="3">
        <v>45244</v>
      </c>
      <c r="L294" t="s">
        <v>28</v>
      </c>
      <c r="M294" t="s">
        <v>2159</v>
      </c>
      <c r="N294" t="s">
        <v>204</v>
      </c>
      <c r="O294" s="2">
        <f t="shared" si="8"/>
        <v>119000</v>
      </c>
      <c r="P294" s="2">
        <f t="shared" si="9"/>
        <v>1428000</v>
      </c>
      <c r="Q294" s="13" t="s">
        <v>167</v>
      </c>
      <c r="R294" s="9" t="s">
        <v>436</v>
      </c>
      <c r="S294" s="3">
        <v>35465</v>
      </c>
    </row>
    <row r="295" spans="1:19">
      <c r="A295" t="s">
        <v>2160</v>
      </c>
      <c r="B295" t="s">
        <v>1335</v>
      </c>
      <c r="C295" t="s">
        <v>2161</v>
      </c>
      <c r="D295" t="s">
        <v>22</v>
      </c>
      <c r="E295" t="s">
        <v>2162</v>
      </c>
      <c r="F295" t="s">
        <v>2163</v>
      </c>
      <c r="G295" t="s">
        <v>2164</v>
      </c>
      <c r="H295" t="s">
        <v>2036</v>
      </c>
      <c r="I295" t="s">
        <v>2062</v>
      </c>
      <c r="J295" s="2">
        <v>128000</v>
      </c>
      <c r="K295" s="3">
        <v>45253</v>
      </c>
      <c r="L295" t="s">
        <v>28</v>
      </c>
      <c r="M295" t="s">
        <v>2165</v>
      </c>
      <c r="N295" t="s">
        <v>98</v>
      </c>
      <c r="O295" s="2">
        <f t="shared" si="8"/>
        <v>128000</v>
      </c>
      <c r="P295" s="2">
        <f t="shared" si="9"/>
        <v>1536000</v>
      </c>
      <c r="Q295" s="13" t="s">
        <v>2055</v>
      </c>
      <c r="R295" s="9" t="s">
        <v>2056</v>
      </c>
      <c r="S295" s="3">
        <v>38183</v>
      </c>
    </row>
    <row r="296" spans="1:19">
      <c r="A296" t="s">
        <v>2166</v>
      </c>
      <c r="B296" t="s">
        <v>2167</v>
      </c>
      <c r="C296" t="s">
        <v>2168</v>
      </c>
      <c r="D296" t="s">
        <v>22</v>
      </c>
      <c r="E296" t="s">
        <v>2169</v>
      </c>
      <c r="F296" t="s">
        <v>2170</v>
      </c>
      <c r="G296" t="s">
        <v>2171</v>
      </c>
      <c r="H296" t="s">
        <v>2036</v>
      </c>
      <c r="I296" t="s">
        <v>2070</v>
      </c>
      <c r="J296" s="2">
        <v>123000</v>
      </c>
      <c r="K296" s="3">
        <v>45262</v>
      </c>
      <c r="L296" t="s">
        <v>28</v>
      </c>
      <c r="M296" t="s">
        <v>2172</v>
      </c>
      <c r="N296" t="s">
        <v>106</v>
      </c>
      <c r="O296" s="2">
        <f t="shared" si="8"/>
        <v>123000</v>
      </c>
      <c r="P296" s="2">
        <f t="shared" si="9"/>
        <v>1476000</v>
      </c>
      <c r="Q296" s="13" t="s">
        <v>107</v>
      </c>
      <c r="R296" s="9" t="s">
        <v>427</v>
      </c>
      <c r="S296" s="3">
        <v>30311</v>
      </c>
    </row>
    <row r="297" spans="1:19">
      <c r="A297" t="s">
        <v>2173</v>
      </c>
      <c r="B297" t="s">
        <v>2174</v>
      </c>
      <c r="C297" t="s">
        <v>2175</v>
      </c>
      <c r="D297" t="s">
        <v>22</v>
      </c>
      <c r="E297" t="s">
        <v>2176</v>
      </c>
      <c r="F297" t="s">
        <v>2177</v>
      </c>
      <c r="G297" t="s">
        <v>2178</v>
      </c>
      <c r="H297" t="s">
        <v>2036</v>
      </c>
      <c r="I297" t="s">
        <v>2037</v>
      </c>
      <c r="J297" s="2">
        <v>84000</v>
      </c>
      <c r="K297" s="3">
        <v>45271</v>
      </c>
      <c r="L297" t="s">
        <v>28</v>
      </c>
      <c r="M297" t="s">
        <v>2179</v>
      </c>
      <c r="N297" t="s">
        <v>98</v>
      </c>
      <c r="O297" s="2">
        <f t="shared" si="8"/>
        <v>84000</v>
      </c>
      <c r="P297" s="2">
        <f t="shared" si="9"/>
        <v>1008000</v>
      </c>
      <c r="Q297" s="13" t="s">
        <v>152</v>
      </c>
      <c r="R297" s="9" t="s">
        <v>54</v>
      </c>
      <c r="S297" s="3">
        <v>32637</v>
      </c>
    </row>
    <row r="298" spans="1:19" ht="27.6">
      <c r="A298" t="s">
        <v>2180</v>
      </c>
      <c r="B298" t="s">
        <v>2181</v>
      </c>
      <c r="C298" t="s">
        <v>169</v>
      </c>
      <c r="D298" t="s">
        <v>22</v>
      </c>
      <c r="E298" t="s">
        <v>2182</v>
      </c>
      <c r="F298" t="s">
        <v>2183</v>
      </c>
      <c r="G298" t="s">
        <v>2184</v>
      </c>
      <c r="H298" t="s">
        <v>2036</v>
      </c>
      <c r="I298" t="s">
        <v>2045</v>
      </c>
      <c r="J298" s="2">
        <v>90000</v>
      </c>
      <c r="K298" s="3">
        <v>45280</v>
      </c>
      <c r="L298" t="s">
        <v>28</v>
      </c>
      <c r="M298" t="s">
        <v>2185</v>
      </c>
      <c r="N298" t="s">
        <v>30</v>
      </c>
      <c r="O298" s="2">
        <f t="shared" si="8"/>
        <v>90000</v>
      </c>
      <c r="P298" s="2">
        <f t="shared" si="9"/>
        <v>1080000</v>
      </c>
      <c r="Q298" s="13" t="s">
        <v>31</v>
      </c>
      <c r="R298" s="9" t="s">
        <v>436</v>
      </c>
      <c r="S298" s="3">
        <v>35358</v>
      </c>
    </row>
    <row r="299" spans="1:19">
      <c r="A299" t="s">
        <v>2186</v>
      </c>
      <c r="B299" t="s">
        <v>2187</v>
      </c>
      <c r="C299" t="s">
        <v>2188</v>
      </c>
      <c r="D299" t="s">
        <v>22</v>
      </c>
      <c r="E299" t="s">
        <v>2189</v>
      </c>
      <c r="F299" t="s">
        <v>2190</v>
      </c>
      <c r="G299" t="s">
        <v>2191</v>
      </c>
      <c r="H299" t="s">
        <v>2036</v>
      </c>
      <c r="I299" t="s">
        <v>2053</v>
      </c>
      <c r="J299" s="2">
        <v>63000</v>
      </c>
      <c r="K299" s="3">
        <v>45289</v>
      </c>
      <c r="L299" t="s">
        <v>218</v>
      </c>
      <c r="M299" t="s">
        <v>2192</v>
      </c>
      <c r="N299" t="s">
        <v>106</v>
      </c>
      <c r="O299" s="2">
        <f t="shared" si="8"/>
        <v>63000</v>
      </c>
      <c r="P299" s="2">
        <f t="shared" si="9"/>
        <v>756000</v>
      </c>
      <c r="Q299" s="13" t="s">
        <v>2055</v>
      </c>
      <c r="R299" s="9" t="s">
        <v>2056</v>
      </c>
      <c r="S299" s="3">
        <v>37683</v>
      </c>
    </row>
    <row r="300" spans="1:19">
      <c r="A300" t="s">
        <v>2193</v>
      </c>
      <c r="B300" t="s">
        <v>2194</v>
      </c>
      <c r="C300" t="s">
        <v>1991</v>
      </c>
      <c r="D300" t="s">
        <v>22</v>
      </c>
      <c r="E300" t="s">
        <v>2195</v>
      </c>
      <c r="F300" t="s">
        <v>2196</v>
      </c>
      <c r="G300" t="s">
        <v>2197</v>
      </c>
      <c r="H300" t="s">
        <v>2036</v>
      </c>
      <c r="I300" t="s">
        <v>2062</v>
      </c>
      <c r="J300" s="2">
        <v>127000</v>
      </c>
      <c r="K300" s="3">
        <v>45298</v>
      </c>
      <c r="L300" t="s">
        <v>218</v>
      </c>
      <c r="M300" t="s">
        <v>2198</v>
      </c>
      <c r="N300" t="s">
        <v>82</v>
      </c>
      <c r="O300" s="2">
        <f t="shared" si="8"/>
        <v>127000</v>
      </c>
      <c r="P300" s="2">
        <f t="shared" si="9"/>
        <v>1524000</v>
      </c>
      <c r="Q300" s="13" t="s">
        <v>137</v>
      </c>
      <c r="R300" s="9" t="s">
        <v>427</v>
      </c>
      <c r="S300" s="3">
        <v>29812</v>
      </c>
    </row>
    <row r="301" spans="1:19" ht="27.6">
      <c r="A301" t="s">
        <v>2199</v>
      </c>
      <c r="B301" t="s">
        <v>2200</v>
      </c>
      <c r="C301" t="s">
        <v>2201</v>
      </c>
      <c r="D301" t="s">
        <v>22</v>
      </c>
      <c r="E301" t="s">
        <v>2202</v>
      </c>
      <c r="F301" t="s">
        <v>2203</v>
      </c>
      <c r="G301" t="s">
        <v>2204</v>
      </c>
      <c r="H301" t="s">
        <v>2036</v>
      </c>
      <c r="I301" t="s">
        <v>2070</v>
      </c>
      <c r="J301" s="2">
        <v>104000</v>
      </c>
      <c r="K301" s="3">
        <v>45307</v>
      </c>
      <c r="L301" t="s">
        <v>218</v>
      </c>
      <c r="M301" t="s">
        <v>2205</v>
      </c>
      <c r="N301" t="s">
        <v>73</v>
      </c>
      <c r="O301" s="2">
        <f t="shared" si="8"/>
        <v>104000</v>
      </c>
      <c r="P301" s="2">
        <f t="shared" si="9"/>
        <v>1248000</v>
      </c>
      <c r="Q301" s="13" t="s">
        <v>182</v>
      </c>
      <c r="R301" s="9" t="s">
        <v>54</v>
      </c>
      <c r="S301" s="3">
        <v>32167</v>
      </c>
    </row>
    <row r="302" spans="1:19">
      <c r="A302" t="s">
        <v>2206</v>
      </c>
      <c r="B302" t="s">
        <v>2207</v>
      </c>
      <c r="C302" t="s">
        <v>2208</v>
      </c>
      <c r="D302" t="s">
        <v>22</v>
      </c>
      <c r="E302" t="s">
        <v>2209</v>
      </c>
      <c r="F302" t="s">
        <v>2210</v>
      </c>
      <c r="G302" t="s">
        <v>2211</v>
      </c>
      <c r="H302" t="s">
        <v>2212</v>
      </c>
      <c r="I302" t="s">
        <v>2213</v>
      </c>
      <c r="J302" s="2">
        <v>56000</v>
      </c>
      <c r="K302" s="3">
        <v>45316</v>
      </c>
      <c r="L302" t="s">
        <v>28</v>
      </c>
      <c r="M302" t="s">
        <v>2214</v>
      </c>
      <c r="N302" t="s">
        <v>41</v>
      </c>
      <c r="O302" s="2">
        <f t="shared" si="8"/>
        <v>56000</v>
      </c>
      <c r="P302" s="2">
        <f t="shared" si="9"/>
        <v>672000</v>
      </c>
      <c r="Q302" s="13" t="s">
        <v>107</v>
      </c>
      <c r="R302" s="9" t="s">
        <v>2215</v>
      </c>
      <c r="S302" s="3">
        <v>34858</v>
      </c>
    </row>
    <row r="303" spans="1:19" ht="27.6">
      <c r="A303" t="s">
        <v>2216</v>
      </c>
      <c r="B303" t="s">
        <v>2217</v>
      </c>
      <c r="C303" t="s">
        <v>2218</v>
      </c>
      <c r="D303" t="s">
        <v>22</v>
      </c>
      <c r="E303" t="s">
        <v>2219</v>
      </c>
      <c r="F303" t="s">
        <v>2220</v>
      </c>
      <c r="G303" t="s">
        <v>2221</v>
      </c>
      <c r="H303" t="s">
        <v>2212</v>
      </c>
      <c r="I303" t="s">
        <v>2222</v>
      </c>
      <c r="J303" s="2">
        <v>62000</v>
      </c>
      <c r="K303" s="3">
        <v>45325</v>
      </c>
      <c r="L303" t="s">
        <v>28</v>
      </c>
      <c r="M303" t="s">
        <v>2223</v>
      </c>
      <c r="N303" t="s">
        <v>41</v>
      </c>
      <c r="O303" s="2">
        <f t="shared" si="8"/>
        <v>62000</v>
      </c>
      <c r="P303" s="2">
        <f t="shared" si="9"/>
        <v>744000</v>
      </c>
      <c r="Q303" s="13" t="s">
        <v>74</v>
      </c>
      <c r="R303" s="9" t="s">
        <v>2224</v>
      </c>
      <c r="S303" s="3">
        <v>37579</v>
      </c>
    </row>
    <row r="304" spans="1:19" ht="27.6">
      <c r="A304" t="s">
        <v>2225</v>
      </c>
      <c r="B304" t="s">
        <v>2226</v>
      </c>
      <c r="C304" t="s">
        <v>2227</v>
      </c>
      <c r="D304" t="s">
        <v>22</v>
      </c>
      <c r="E304" t="s">
        <v>2228</v>
      </c>
      <c r="F304" t="s">
        <v>2229</v>
      </c>
      <c r="G304" t="s">
        <v>2230</v>
      </c>
      <c r="H304" t="s">
        <v>2212</v>
      </c>
      <c r="I304" t="s">
        <v>2231</v>
      </c>
      <c r="J304" s="2">
        <v>77000</v>
      </c>
      <c r="K304" s="3">
        <v>45334</v>
      </c>
      <c r="L304" t="s">
        <v>28</v>
      </c>
      <c r="M304" t="s">
        <v>2232</v>
      </c>
      <c r="N304" t="s">
        <v>30</v>
      </c>
      <c r="O304" s="2">
        <f t="shared" si="8"/>
        <v>77000</v>
      </c>
      <c r="P304" s="2">
        <f t="shared" si="9"/>
        <v>924000</v>
      </c>
      <c r="Q304" s="13" t="s">
        <v>31</v>
      </c>
      <c r="R304" s="9" t="s">
        <v>1511</v>
      </c>
      <c r="S304" s="3">
        <v>29313</v>
      </c>
    </row>
    <row r="305" spans="1:19">
      <c r="A305" t="s">
        <v>2233</v>
      </c>
      <c r="B305" t="s">
        <v>2234</v>
      </c>
      <c r="C305" t="s">
        <v>2235</v>
      </c>
      <c r="D305" t="s">
        <v>22</v>
      </c>
      <c r="E305" t="s">
        <v>2236</v>
      </c>
      <c r="F305" t="s">
        <v>2237</v>
      </c>
      <c r="G305" t="s">
        <v>2238</v>
      </c>
      <c r="H305" t="s">
        <v>2212</v>
      </c>
      <c r="I305" t="s">
        <v>2239</v>
      </c>
      <c r="J305" s="2">
        <v>70000</v>
      </c>
      <c r="K305" s="3">
        <v>45343</v>
      </c>
      <c r="L305" t="s">
        <v>28</v>
      </c>
      <c r="M305" t="s">
        <v>2240</v>
      </c>
      <c r="N305" t="s">
        <v>98</v>
      </c>
      <c r="O305" s="2">
        <f t="shared" si="8"/>
        <v>70000</v>
      </c>
      <c r="P305" s="2">
        <f t="shared" si="9"/>
        <v>840000</v>
      </c>
      <c r="Q305" s="13" t="s">
        <v>2055</v>
      </c>
      <c r="R305" s="9" t="s">
        <v>2241</v>
      </c>
      <c r="S305" s="3">
        <v>32033</v>
      </c>
    </row>
    <row r="306" spans="1:19">
      <c r="A306" t="s">
        <v>2242</v>
      </c>
      <c r="B306" t="s">
        <v>2243</v>
      </c>
      <c r="C306" t="s">
        <v>2244</v>
      </c>
      <c r="D306" t="s">
        <v>22</v>
      </c>
      <c r="E306" t="s">
        <v>2245</v>
      </c>
      <c r="F306" t="s">
        <v>2246</v>
      </c>
      <c r="G306" t="s">
        <v>2247</v>
      </c>
      <c r="H306" t="s">
        <v>2212</v>
      </c>
      <c r="I306" t="s">
        <v>2248</v>
      </c>
      <c r="J306" s="2">
        <v>104000</v>
      </c>
      <c r="K306" s="3">
        <v>45352</v>
      </c>
      <c r="L306" t="s">
        <v>28</v>
      </c>
      <c r="M306" t="s">
        <v>2249</v>
      </c>
      <c r="N306" t="s">
        <v>52</v>
      </c>
      <c r="O306" s="2">
        <f t="shared" si="8"/>
        <v>104000</v>
      </c>
      <c r="P306" s="2">
        <f t="shared" si="9"/>
        <v>1248000</v>
      </c>
      <c r="Q306" s="13" t="s">
        <v>137</v>
      </c>
      <c r="R306" s="9" t="s">
        <v>2215</v>
      </c>
      <c r="S306" s="3">
        <v>34389</v>
      </c>
    </row>
    <row r="307" spans="1:19">
      <c r="A307" t="s">
        <v>2250</v>
      </c>
      <c r="B307" t="s">
        <v>2251</v>
      </c>
      <c r="C307" t="s">
        <v>2040</v>
      </c>
      <c r="D307" t="s">
        <v>22</v>
      </c>
      <c r="E307" t="s">
        <v>2252</v>
      </c>
      <c r="F307" t="s">
        <v>2253</v>
      </c>
      <c r="G307" t="s">
        <v>2254</v>
      </c>
      <c r="H307" t="s">
        <v>2212</v>
      </c>
      <c r="I307" t="s">
        <v>2213</v>
      </c>
      <c r="J307" s="2">
        <v>76000</v>
      </c>
      <c r="K307" s="3">
        <v>45361</v>
      </c>
      <c r="L307" t="s">
        <v>28</v>
      </c>
      <c r="M307" t="s">
        <v>2255</v>
      </c>
      <c r="N307" t="s">
        <v>106</v>
      </c>
      <c r="O307" s="2">
        <f t="shared" si="8"/>
        <v>76000</v>
      </c>
      <c r="P307" s="2">
        <f t="shared" si="9"/>
        <v>912000</v>
      </c>
      <c r="Q307" s="13" t="s">
        <v>107</v>
      </c>
      <c r="R307" s="9" t="s">
        <v>2224</v>
      </c>
      <c r="S307" s="3">
        <v>37079</v>
      </c>
    </row>
    <row r="308" spans="1:19" ht="27.6">
      <c r="A308" t="s">
        <v>2256</v>
      </c>
      <c r="B308" t="s">
        <v>2257</v>
      </c>
      <c r="C308" t="s">
        <v>1297</v>
      </c>
      <c r="D308" t="s">
        <v>22</v>
      </c>
      <c r="E308" t="s">
        <v>2258</v>
      </c>
      <c r="F308" t="s">
        <v>2259</v>
      </c>
      <c r="G308" t="s">
        <v>2260</v>
      </c>
      <c r="H308" t="s">
        <v>2212</v>
      </c>
      <c r="I308" t="s">
        <v>2222</v>
      </c>
      <c r="J308" s="2">
        <v>51000</v>
      </c>
      <c r="K308" s="3">
        <v>45370</v>
      </c>
      <c r="L308" t="s">
        <v>28</v>
      </c>
      <c r="M308" t="s">
        <v>2261</v>
      </c>
      <c r="N308" t="s">
        <v>52</v>
      </c>
      <c r="O308" s="2">
        <f t="shared" si="8"/>
        <v>51000</v>
      </c>
      <c r="P308" s="2">
        <f t="shared" si="9"/>
        <v>612000</v>
      </c>
      <c r="Q308" s="13" t="s">
        <v>74</v>
      </c>
      <c r="R308" s="9" t="s">
        <v>1511</v>
      </c>
      <c r="S308" s="3">
        <v>29207</v>
      </c>
    </row>
    <row r="309" spans="1:19">
      <c r="A309" t="s">
        <v>2262</v>
      </c>
      <c r="B309" t="s">
        <v>2263</v>
      </c>
      <c r="C309" t="s">
        <v>2264</v>
      </c>
      <c r="D309" t="s">
        <v>22</v>
      </c>
      <c r="E309" t="s">
        <v>2265</v>
      </c>
      <c r="F309" t="s">
        <v>2266</v>
      </c>
      <c r="G309" t="s">
        <v>2267</v>
      </c>
      <c r="H309" t="s">
        <v>2212</v>
      </c>
      <c r="I309" t="s">
        <v>2231</v>
      </c>
      <c r="J309" s="2">
        <v>66000</v>
      </c>
      <c r="K309" s="3">
        <v>45379</v>
      </c>
      <c r="L309" t="s">
        <v>28</v>
      </c>
      <c r="M309" t="s">
        <v>2268</v>
      </c>
      <c r="N309" t="s">
        <v>98</v>
      </c>
      <c r="O309" s="2">
        <f t="shared" si="8"/>
        <v>66000</v>
      </c>
      <c r="P309" s="2">
        <f t="shared" si="9"/>
        <v>792000</v>
      </c>
      <c r="Q309" s="13" t="s">
        <v>2055</v>
      </c>
      <c r="R309" s="9" t="s">
        <v>2241</v>
      </c>
      <c r="S309" s="3">
        <v>31533</v>
      </c>
    </row>
    <row r="310" spans="1:19" ht="27.6">
      <c r="A310" t="s">
        <v>2269</v>
      </c>
      <c r="B310" t="s">
        <v>2270</v>
      </c>
      <c r="C310" t="s">
        <v>2271</v>
      </c>
      <c r="D310" t="s">
        <v>22</v>
      </c>
      <c r="E310" t="s">
        <v>2272</v>
      </c>
      <c r="F310" t="s">
        <v>2273</v>
      </c>
      <c r="G310" t="s">
        <v>2274</v>
      </c>
      <c r="H310" t="s">
        <v>2212</v>
      </c>
      <c r="I310" t="s">
        <v>2239</v>
      </c>
      <c r="J310" s="2">
        <v>53000</v>
      </c>
      <c r="K310" s="3">
        <v>45388</v>
      </c>
      <c r="L310" t="s">
        <v>28</v>
      </c>
      <c r="M310" t="s">
        <v>2275</v>
      </c>
      <c r="N310" t="s">
        <v>204</v>
      </c>
      <c r="O310" s="2">
        <f t="shared" si="8"/>
        <v>53000</v>
      </c>
      <c r="P310" s="2">
        <f t="shared" si="9"/>
        <v>636000</v>
      </c>
      <c r="Q310" s="13" t="s">
        <v>167</v>
      </c>
      <c r="R310" s="9" t="s">
        <v>2215</v>
      </c>
      <c r="S310" s="3">
        <v>34254</v>
      </c>
    </row>
    <row r="311" spans="1:19">
      <c r="A311" t="s">
        <v>2276</v>
      </c>
      <c r="B311" t="s">
        <v>694</v>
      </c>
      <c r="C311" t="s">
        <v>2277</v>
      </c>
      <c r="D311" t="s">
        <v>22</v>
      </c>
      <c r="E311" t="s">
        <v>2278</v>
      </c>
      <c r="F311" t="s">
        <v>2279</v>
      </c>
      <c r="G311" t="s">
        <v>2280</v>
      </c>
      <c r="H311" t="s">
        <v>2212</v>
      </c>
      <c r="I311" t="s">
        <v>2248</v>
      </c>
      <c r="J311" s="2">
        <v>57000</v>
      </c>
      <c r="K311" s="3">
        <v>45397</v>
      </c>
      <c r="L311" t="s">
        <v>28</v>
      </c>
      <c r="M311" t="s">
        <v>2281</v>
      </c>
      <c r="N311" t="s">
        <v>204</v>
      </c>
      <c r="O311" s="2">
        <f t="shared" si="8"/>
        <v>57000</v>
      </c>
      <c r="P311" s="2">
        <f t="shared" si="9"/>
        <v>684000</v>
      </c>
      <c r="Q311" s="13" t="s">
        <v>137</v>
      </c>
      <c r="R311" s="9" t="s">
        <v>2224</v>
      </c>
      <c r="S311" s="3">
        <v>36608</v>
      </c>
    </row>
    <row r="312" spans="1:19">
      <c r="A312" t="s">
        <v>2282</v>
      </c>
      <c r="B312" t="s">
        <v>2283</v>
      </c>
      <c r="C312" t="s">
        <v>2284</v>
      </c>
      <c r="D312" t="s">
        <v>22</v>
      </c>
      <c r="E312" t="s">
        <v>2285</v>
      </c>
      <c r="F312" t="s">
        <v>2286</v>
      </c>
      <c r="G312" t="s">
        <v>2287</v>
      </c>
      <c r="H312" t="s">
        <v>2212</v>
      </c>
      <c r="I312" t="s">
        <v>2213</v>
      </c>
      <c r="J312" s="2">
        <v>86000</v>
      </c>
      <c r="K312" s="3">
        <v>45406</v>
      </c>
      <c r="L312" t="s">
        <v>28</v>
      </c>
      <c r="M312" t="s">
        <v>2288</v>
      </c>
      <c r="N312" t="s">
        <v>73</v>
      </c>
      <c r="O312" s="2">
        <f t="shared" si="8"/>
        <v>86000</v>
      </c>
      <c r="P312" s="2">
        <f t="shared" si="9"/>
        <v>1032000</v>
      </c>
      <c r="Q312" s="13" t="s">
        <v>107</v>
      </c>
      <c r="R312" s="9" t="s">
        <v>1511</v>
      </c>
      <c r="S312" s="3">
        <v>28708</v>
      </c>
    </row>
    <row r="313" spans="1:19">
      <c r="A313" t="s">
        <v>2289</v>
      </c>
      <c r="B313" t="s">
        <v>2290</v>
      </c>
      <c r="C313" t="s">
        <v>2291</v>
      </c>
      <c r="D313" t="s">
        <v>22</v>
      </c>
      <c r="E313" t="s">
        <v>2292</v>
      </c>
      <c r="F313" t="s">
        <v>2293</v>
      </c>
      <c r="G313" t="s">
        <v>2294</v>
      </c>
      <c r="H313" t="s">
        <v>2212</v>
      </c>
      <c r="I313" t="s">
        <v>2222</v>
      </c>
      <c r="J313" s="2">
        <v>48000</v>
      </c>
      <c r="K313" s="3">
        <v>45415</v>
      </c>
      <c r="L313" t="s">
        <v>28</v>
      </c>
      <c r="M313" t="s">
        <v>2295</v>
      </c>
      <c r="N313" t="s">
        <v>30</v>
      </c>
      <c r="O313" s="2">
        <f t="shared" si="8"/>
        <v>48000</v>
      </c>
      <c r="P313" s="2">
        <f t="shared" si="9"/>
        <v>576000</v>
      </c>
      <c r="Q313" s="13" t="s">
        <v>2055</v>
      </c>
      <c r="R313" s="9" t="s">
        <v>2241</v>
      </c>
      <c r="S313" s="3">
        <v>31064</v>
      </c>
    </row>
    <row r="314" spans="1:19" ht="27.6">
      <c r="A314" t="s">
        <v>2296</v>
      </c>
      <c r="B314" t="s">
        <v>2297</v>
      </c>
      <c r="C314" t="s">
        <v>2298</v>
      </c>
      <c r="D314" t="s">
        <v>22</v>
      </c>
      <c r="E314" t="s">
        <v>2299</v>
      </c>
      <c r="F314" t="s">
        <v>2300</v>
      </c>
      <c r="G314" t="s">
        <v>2301</v>
      </c>
      <c r="H314" t="s">
        <v>2212</v>
      </c>
      <c r="I314" t="s">
        <v>2231</v>
      </c>
      <c r="J314" s="2">
        <v>71000</v>
      </c>
      <c r="K314" s="3">
        <v>45424</v>
      </c>
      <c r="L314" t="s">
        <v>28</v>
      </c>
      <c r="M314" t="s">
        <v>2302</v>
      </c>
      <c r="N314" t="s">
        <v>204</v>
      </c>
      <c r="O314" s="2">
        <f t="shared" si="8"/>
        <v>71000</v>
      </c>
      <c r="P314" s="2">
        <f t="shared" si="9"/>
        <v>852000</v>
      </c>
      <c r="Q314" s="13" t="s">
        <v>31</v>
      </c>
      <c r="R314" s="9" t="s">
        <v>2215</v>
      </c>
      <c r="S314" s="3">
        <v>33783</v>
      </c>
    </row>
    <row r="315" spans="1:19" ht="27.6">
      <c r="A315" t="s">
        <v>2303</v>
      </c>
      <c r="B315" t="s">
        <v>2304</v>
      </c>
      <c r="C315" t="s">
        <v>2305</v>
      </c>
      <c r="D315" t="s">
        <v>22</v>
      </c>
      <c r="E315" t="s">
        <v>2306</v>
      </c>
      <c r="F315" t="s">
        <v>2307</v>
      </c>
      <c r="G315" t="s">
        <v>2308</v>
      </c>
      <c r="H315" t="s">
        <v>2212</v>
      </c>
      <c r="I315" t="s">
        <v>2239</v>
      </c>
      <c r="J315" s="2">
        <v>82000</v>
      </c>
      <c r="K315" s="3">
        <v>45433</v>
      </c>
      <c r="L315" t="s">
        <v>28</v>
      </c>
      <c r="M315" t="s">
        <v>2309</v>
      </c>
      <c r="N315" t="s">
        <v>82</v>
      </c>
      <c r="O315" s="2">
        <f t="shared" si="8"/>
        <v>82000</v>
      </c>
      <c r="P315" s="2">
        <f t="shared" si="9"/>
        <v>984000</v>
      </c>
      <c r="Q315" s="13" t="s">
        <v>167</v>
      </c>
      <c r="R315" s="9" t="s">
        <v>2224</v>
      </c>
      <c r="S315" s="3">
        <v>36475</v>
      </c>
    </row>
    <row r="316" spans="1:19">
      <c r="A316" t="s">
        <v>2310</v>
      </c>
      <c r="B316" t="s">
        <v>2311</v>
      </c>
      <c r="C316" t="s">
        <v>2312</v>
      </c>
      <c r="D316" t="s">
        <v>22</v>
      </c>
      <c r="E316" t="s">
        <v>2313</v>
      </c>
      <c r="F316" t="s">
        <v>2314</v>
      </c>
      <c r="G316" t="s">
        <v>2315</v>
      </c>
      <c r="H316" t="s">
        <v>2212</v>
      </c>
      <c r="I316" t="s">
        <v>2248</v>
      </c>
      <c r="J316" s="2">
        <v>108000</v>
      </c>
      <c r="K316" s="3">
        <v>45442</v>
      </c>
      <c r="L316" t="s">
        <v>28</v>
      </c>
      <c r="M316" t="s">
        <v>2316</v>
      </c>
      <c r="N316" t="s">
        <v>41</v>
      </c>
      <c r="O316" s="2">
        <f t="shared" si="8"/>
        <v>108000</v>
      </c>
      <c r="P316" s="2">
        <f t="shared" si="9"/>
        <v>1296000</v>
      </c>
      <c r="Q316" s="13" t="s">
        <v>137</v>
      </c>
      <c r="R316" s="9" t="s">
        <v>1511</v>
      </c>
      <c r="S316" s="3">
        <v>28237</v>
      </c>
    </row>
    <row r="317" spans="1:19">
      <c r="A317" t="s">
        <v>2317</v>
      </c>
      <c r="B317" t="s">
        <v>2318</v>
      </c>
      <c r="C317" t="s">
        <v>314</v>
      </c>
      <c r="D317" t="s">
        <v>22</v>
      </c>
      <c r="E317" t="s">
        <v>2319</v>
      </c>
      <c r="F317" t="s">
        <v>2320</v>
      </c>
      <c r="G317" t="s">
        <v>2321</v>
      </c>
      <c r="H317" t="s">
        <v>2212</v>
      </c>
      <c r="I317" t="s">
        <v>2213</v>
      </c>
      <c r="J317" s="2">
        <v>99000</v>
      </c>
      <c r="K317" s="3">
        <v>45451</v>
      </c>
      <c r="L317" t="s">
        <v>28</v>
      </c>
      <c r="M317" t="s">
        <v>2322</v>
      </c>
      <c r="N317" t="s">
        <v>204</v>
      </c>
      <c r="O317" s="2">
        <f t="shared" si="8"/>
        <v>99000</v>
      </c>
      <c r="P317" s="2">
        <f t="shared" si="9"/>
        <v>1188000</v>
      </c>
      <c r="Q317" s="13" t="s">
        <v>2055</v>
      </c>
      <c r="R317" s="9" t="s">
        <v>2241</v>
      </c>
      <c r="S317" s="3">
        <v>30930</v>
      </c>
    </row>
    <row r="318" spans="1:19" ht="27.6">
      <c r="A318" t="s">
        <v>2323</v>
      </c>
      <c r="B318" t="s">
        <v>2324</v>
      </c>
      <c r="C318" t="s">
        <v>2325</v>
      </c>
      <c r="D318" t="s">
        <v>22</v>
      </c>
      <c r="E318" t="s">
        <v>2326</v>
      </c>
      <c r="F318" t="s">
        <v>2327</v>
      </c>
      <c r="G318" t="s">
        <v>2328</v>
      </c>
      <c r="H318" t="s">
        <v>2212</v>
      </c>
      <c r="I318" t="s">
        <v>2222</v>
      </c>
      <c r="J318" s="2">
        <v>70000</v>
      </c>
      <c r="K318" s="3">
        <v>45460</v>
      </c>
      <c r="L318" t="s">
        <v>28</v>
      </c>
      <c r="M318" t="s">
        <v>2329</v>
      </c>
      <c r="N318" t="s">
        <v>98</v>
      </c>
      <c r="O318" s="2">
        <f t="shared" si="8"/>
        <v>70000</v>
      </c>
      <c r="P318" s="2">
        <f t="shared" si="9"/>
        <v>840000</v>
      </c>
      <c r="Q318" s="13" t="s">
        <v>74</v>
      </c>
      <c r="R318" s="9" t="s">
        <v>2215</v>
      </c>
      <c r="S318" s="3">
        <v>33285</v>
      </c>
    </row>
    <row r="319" spans="1:19" ht="27.6">
      <c r="A319" t="s">
        <v>2330</v>
      </c>
      <c r="B319" t="s">
        <v>2331</v>
      </c>
      <c r="C319" t="s">
        <v>2127</v>
      </c>
      <c r="D319" t="s">
        <v>22</v>
      </c>
      <c r="E319" t="s">
        <v>2332</v>
      </c>
      <c r="F319" t="s">
        <v>2333</v>
      </c>
      <c r="G319" t="s">
        <v>2334</v>
      </c>
      <c r="H319" t="s">
        <v>2212</v>
      </c>
      <c r="I319" t="s">
        <v>2231</v>
      </c>
      <c r="J319" s="2">
        <v>45000</v>
      </c>
      <c r="K319" s="3">
        <v>45469</v>
      </c>
      <c r="L319" t="s">
        <v>28</v>
      </c>
      <c r="M319" t="s">
        <v>2335</v>
      </c>
      <c r="N319" t="s">
        <v>106</v>
      </c>
      <c r="O319" s="2">
        <f t="shared" si="8"/>
        <v>45000</v>
      </c>
      <c r="P319" s="2">
        <f t="shared" si="9"/>
        <v>540000</v>
      </c>
      <c r="Q319" s="13" t="s">
        <v>31</v>
      </c>
      <c r="R319" s="9" t="s">
        <v>2224</v>
      </c>
      <c r="S319" s="3">
        <v>36003</v>
      </c>
    </row>
    <row r="320" spans="1:19" ht="27.6">
      <c r="A320" t="s">
        <v>2336</v>
      </c>
      <c r="B320" t="s">
        <v>2337</v>
      </c>
      <c r="C320" t="s">
        <v>2338</v>
      </c>
      <c r="D320" t="s">
        <v>22</v>
      </c>
      <c r="E320" t="s">
        <v>2339</v>
      </c>
      <c r="F320" t="s">
        <v>2340</v>
      </c>
      <c r="G320" t="s">
        <v>2341</v>
      </c>
      <c r="H320" t="s">
        <v>2212</v>
      </c>
      <c r="I320" t="s">
        <v>2239</v>
      </c>
      <c r="J320" s="2">
        <v>101000</v>
      </c>
      <c r="K320" s="3">
        <v>45478</v>
      </c>
      <c r="L320" t="s">
        <v>28</v>
      </c>
      <c r="M320" t="s">
        <v>2342</v>
      </c>
      <c r="N320" t="s">
        <v>82</v>
      </c>
      <c r="O320" s="2">
        <f t="shared" si="8"/>
        <v>101000</v>
      </c>
      <c r="P320" s="2">
        <f t="shared" si="9"/>
        <v>1212000</v>
      </c>
      <c r="Q320" s="13" t="s">
        <v>167</v>
      </c>
      <c r="R320" s="9" t="s">
        <v>1511</v>
      </c>
      <c r="S320" s="3">
        <v>28104</v>
      </c>
    </row>
    <row r="321" spans="1:19">
      <c r="A321" t="s">
        <v>2343</v>
      </c>
      <c r="B321" t="s">
        <v>2344</v>
      </c>
      <c r="C321" t="s">
        <v>2345</v>
      </c>
      <c r="D321" t="s">
        <v>22</v>
      </c>
      <c r="E321" t="s">
        <v>2346</v>
      </c>
      <c r="F321" t="s">
        <v>2347</v>
      </c>
      <c r="G321" t="s">
        <v>2348</v>
      </c>
      <c r="H321" t="s">
        <v>2212</v>
      </c>
      <c r="I321" t="s">
        <v>2248</v>
      </c>
      <c r="J321" s="2">
        <v>89000</v>
      </c>
      <c r="K321" s="3">
        <v>45487</v>
      </c>
      <c r="L321" t="s">
        <v>28</v>
      </c>
      <c r="M321" t="s">
        <v>2349</v>
      </c>
      <c r="N321" t="s">
        <v>52</v>
      </c>
      <c r="O321" s="2">
        <f t="shared" si="8"/>
        <v>89000</v>
      </c>
      <c r="P321" s="2">
        <f t="shared" si="9"/>
        <v>1068000</v>
      </c>
      <c r="Q321" s="13" t="s">
        <v>2055</v>
      </c>
      <c r="R321" s="9" t="s">
        <v>2241</v>
      </c>
      <c r="S321" s="3">
        <v>30457</v>
      </c>
    </row>
    <row r="322" spans="1:19">
      <c r="A322" t="s">
        <v>2350</v>
      </c>
      <c r="B322" t="s">
        <v>2351</v>
      </c>
      <c r="C322" t="s">
        <v>2352</v>
      </c>
      <c r="D322" t="s">
        <v>22</v>
      </c>
      <c r="E322" t="s">
        <v>2353</v>
      </c>
      <c r="F322" t="s">
        <v>2354</v>
      </c>
      <c r="G322" t="s">
        <v>2355</v>
      </c>
      <c r="H322" t="s">
        <v>2212</v>
      </c>
      <c r="I322" t="s">
        <v>2213</v>
      </c>
      <c r="J322" s="2">
        <v>55000</v>
      </c>
      <c r="K322" s="3">
        <v>45496</v>
      </c>
      <c r="L322" t="s">
        <v>28</v>
      </c>
      <c r="M322" t="s">
        <v>2356</v>
      </c>
      <c r="N322" t="s">
        <v>41</v>
      </c>
      <c r="O322" s="2">
        <f t="shared" ref="O322:O385" si="10">J322</f>
        <v>55000</v>
      </c>
      <c r="P322" s="2">
        <f t="shared" ref="P322:P385" si="11">J322*12</f>
        <v>660000</v>
      </c>
      <c r="Q322" s="13" t="s">
        <v>107</v>
      </c>
      <c r="R322" s="9" t="s">
        <v>2215</v>
      </c>
      <c r="S322" s="3">
        <v>33150</v>
      </c>
    </row>
    <row r="323" spans="1:19" ht="27.6">
      <c r="A323" t="s">
        <v>2357</v>
      </c>
      <c r="B323" t="s">
        <v>2358</v>
      </c>
      <c r="C323" t="s">
        <v>2359</v>
      </c>
      <c r="D323" t="s">
        <v>22</v>
      </c>
      <c r="E323" t="s">
        <v>2360</v>
      </c>
      <c r="F323" t="s">
        <v>2361</v>
      </c>
      <c r="G323" t="s">
        <v>2362</v>
      </c>
      <c r="H323" t="s">
        <v>2212</v>
      </c>
      <c r="I323" t="s">
        <v>2222</v>
      </c>
      <c r="J323" s="2">
        <v>107000</v>
      </c>
      <c r="K323" s="3">
        <v>45505</v>
      </c>
      <c r="L323" t="s">
        <v>28</v>
      </c>
      <c r="M323" t="s">
        <v>2363</v>
      </c>
      <c r="N323" t="s">
        <v>204</v>
      </c>
      <c r="O323" s="2">
        <f t="shared" si="10"/>
        <v>107000</v>
      </c>
      <c r="P323" s="2">
        <f t="shared" si="11"/>
        <v>1284000</v>
      </c>
      <c r="Q323" s="13" t="s">
        <v>74</v>
      </c>
      <c r="R323" s="9" t="s">
        <v>2224</v>
      </c>
      <c r="S323" s="3">
        <v>35504</v>
      </c>
    </row>
    <row r="324" spans="1:19" ht="27.6">
      <c r="A324" t="s">
        <v>2364</v>
      </c>
      <c r="B324" t="s">
        <v>2365</v>
      </c>
      <c r="C324" t="s">
        <v>2366</v>
      </c>
      <c r="D324" t="s">
        <v>22</v>
      </c>
      <c r="E324" t="s">
        <v>2367</v>
      </c>
      <c r="F324" t="s">
        <v>2368</v>
      </c>
      <c r="G324" t="s">
        <v>2369</v>
      </c>
      <c r="H324" t="s">
        <v>2212</v>
      </c>
      <c r="I324" t="s">
        <v>2231</v>
      </c>
      <c r="J324" s="2">
        <v>58000</v>
      </c>
      <c r="K324" s="3">
        <v>45514</v>
      </c>
      <c r="L324" t="s">
        <v>28</v>
      </c>
      <c r="M324" t="s">
        <v>2370</v>
      </c>
      <c r="N324" t="s">
        <v>73</v>
      </c>
      <c r="O324" s="2">
        <f t="shared" si="10"/>
        <v>58000</v>
      </c>
      <c r="P324" s="2">
        <f t="shared" si="11"/>
        <v>696000</v>
      </c>
      <c r="Q324" s="13" t="s">
        <v>31</v>
      </c>
      <c r="R324" s="9" t="s">
        <v>1511</v>
      </c>
      <c r="S324" s="3">
        <v>38225</v>
      </c>
    </row>
    <row r="325" spans="1:19">
      <c r="A325" t="s">
        <v>2371</v>
      </c>
      <c r="B325" t="s">
        <v>2372</v>
      </c>
      <c r="C325" t="s">
        <v>2373</v>
      </c>
      <c r="D325" t="s">
        <v>22</v>
      </c>
      <c r="E325" t="s">
        <v>2374</v>
      </c>
      <c r="F325" t="s">
        <v>2375</v>
      </c>
      <c r="G325" t="s">
        <v>2376</v>
      </c>
      <c r="H325" t="s">
        <v>2212</v>
      </c>
      <c r="I325" t="s">
        <v>2239</v>
      </c>
      <c r="J325" s="2">
        <v>85000</v>
      </c>
      <c r="K325" s="3">
        <v>45523</v>
      </c>
      <c r="L325" t="s">
        <v>218</v>
      </c>
      <c r="M325" t="s">
        <v>2377</v>
      </c>
      <c r="N325" t="s">
        <v>204</v>
      </c>
      <c r="O325" s="2">
        <f t="shared" si="10"/>
        <v>85000</v>
      </c>
      <c r="P325" s="2">
        <f t="shared" si="11"/>
        <v>1020000</v>
      </c>
      <c r="Q325" s="13" t="s">
        <v>2055</v>
      </c>
      <c r="R325" s="9" t="s">
        <v>2241</v>
      </c>
      <c r="S325" s="3">
        <v>29960</v>
      </c>
    </row>
    <row r="326" spans="1:19">
      <c r="A326" t="s">
        <v>2378</v>
      </c>
      <c r="B326" t="s">
        <v>1557</v>
      </c>
      <c r="C326" t="s">
        <v>2379</v>
      </c>
      <c r="D326" t="s">
        <v>22</v>
      </c>
      <c r="E326" t="s">
        <v>2380</v>
      </c>
      <c r="F326" t="s">
        <v>2381</v>
      </c>
      <c r="G326" t="s">
        <v>2382</v>
      </c>
      <c r="H326" t="s">
        <v>2212</v>
      </c>
      <c r="I326" t="s">
        <v>2248</v>
      </c>
      <c r="J326" s="2">
        <v>79000</v>
      </c>
      <c r="K326" s="3">
        <v>45532</v>
      </c>
      <c r="L326" t="s">
        <v>28</v>
      </c>
      <c r="M326" t="s">
        <v>2383</v>
      </c>
      <c r="N326" t="s">
        <v>41</v>
      </c>
      <c r="O326" s="2">
        <f t="shared" si="10"/>
        <v>79000</v>
      </c>
      <c r="P326" s="2">
        <f t="shared" si="11"/>
        <v>948000</v>
      </c>
      <c r="Q326" s="13" t="s">
        <v>137</v>
      </c>
      <c r="R326" s="9" t="s">
        <v>2215</v>
      </c>
      <c r="S326" s="3">
        <v>32679</v>
      </c>
    </row>
    <row r="327" spans="1:19">
      <c r="A327" t="s">
        <v>2384</v>
      </c>
      <c r="B327" t="s">
        <v>2385</v>
      </c>
      <c r="C327" t="s">
        <v>1434</v>
      </c>
      <c r="D327" t="s">
        <v>22</v>
      </c>
      <c r="E327" t="s">
        <v>2386</v>
      </c>
      <c r="F327" t="s">
        <v>2387</v>
      </c>
      <c r="G327" t="s">
        <v>2388</v>
      </c>
      <c r="H327" t="s">
        <v>2389</v>
      </c>
      <c r="I327" t="s">
        <v>2390</v>
      </c>
      <c r="J327" s="2">
        <v>154000</v>
      </c>
      <c r="K327" s="3">
        <v>45541</v>
      </c>
      <c r="L327" t="s">
        <v>28</v>
      </c>
      <c r="M327" t="s">
        <v>2391</v>
      </c>
      <c r="N327" t="s">
        <v>204</v>
      </c>
      <c r="O327" s="2">
        <f t="shared" si="10"/>
        <v>154000</v>
      </c>
      <c r="P327" s="2">
        <f t="shared" si="11"/>
        <v>1848000</v>
      </c>
      <c r="Q327" s="13" t="s">
        <v>2392</v>
      </c>
      <c r="R327" s="9" t="s">
        <v>2393</v>
      </c>
      <c r="S327" s="3">
        <v>35372</v>
      </c>
    </row>
    <row r="328" spans="1:19" ht="27.6">
      <c r="A328" t="s">
        <v>2394</v>
      </c>
      <c r="B328" t="s">
        <v>2395</v>
      </c>
      <c r="C328" t="s">
        <v>2396</v>
      </c>
      <c r="D328" t="s">
        <v>22</v>
      </c>
      <c r="E328" t="s">
        <v>2397</v>
      </c>
      <c r="F328" t="s">
        <v>2398</v>
      </c>
      <c r="G328" t="s">
        <v>2399</v>
      </c>
      <c r="H328" t="s">
        <v>2389</v>
      </c>
      <c r="I328" t="s">
        <v>2400</v>
      </c>
      <c r="J328" s="2">
        <v>95000</v>
      </c>
      <c r="K328" s="3">
        <v>45550</v>
      </c>
      <c r="L328" t="s">
        <v>28</v>
      </c>
      <c r="M328" t="s">
        <v>2401</v>
      </c>
      <c r="N328" t="s">
        <v>41</v>
      </c>
      <c r="O328" s="2">
        <f t="shared" si="10"/>
        <v>95000</v>
      </c>
      <c r="P328" s="2">
        <f t="shared" si="11"/>
        <v>1140000</v>
      </c>
      <c r="Q328" s="13" t="s">
        <v>2402</v>
      </c>
      <c r="R328" s="9" t="s">
        <v>2403</v>
      </c>
      <c r="S328" s="3">
        <v>37725</v>
      </c>
    </row>
    <row r="329" spans="1:19" ht="27.6">
      <c r="A329" t="s">
        <v>2404</v>
      </c>
      <c r="B329" t="s">
        <v>2405</v>
      </c>
      <c r="C329" t="s">
        <v>2406</v>
      </c>
      <c r="D329" t="s">
        <v>22</v>
      </c>
      <c r="E329" t="s">
        <v>2407</v>
      </c>
      <c r="F329" t="s">
        <v>2408</v>
      </c>
      <c r="G329" t="s">
        <v>2409</v>
      </c>
      <c r="H329" t="s">
        <v>2389</v>
      </c>
      <c r="I329" t="s">
        <v>2410</v>
      </c>
      <c r="J329" s="2">
        <v>158000</v>
      </c>
      <c r="K329" s="3">
        <v>45559</v>
      </c>
      <c r="L329" t="s">
        <v>28</v>
      </c>
      <c r="M329" t="s">
        <v>2411</v>
      </c>
      <c r="N329" t="s">
        <v>106</v>
      </c>
      <c r="O329" s="2">
        <f t="shared" si="10"/>
        <v>158000</v>
      </c>
      <c r="P329" s="2">
        <f t="shared" si="11"/>
        <v>1896000</v>
      </c>
      <c r="Q329" s="13" t="s">
        <v>2402</v>
      </c>
      <c r="R329" s="9" t="s">
        <v>2412</v>
      </c>
      <c r="S329" s="3">
        <v>29854</v>
      </c>
    </row>
    <row r="330" spans="1:19" ht="27.6">
      <c r="A330" t="s">
        <v>2413</v>
      </c>
      <c r="B330" t="s">
        <v>833</v>
      </c>
      <c r="C330" t="s">
        <v>2414</v>
      </c>
      <c r="D330" t="s">
        <v>22</v>
      </c>
      <c r="E330" t="s">
        <v>2415</v>
      </c>
      <c r="F330" t="s">
        <v>2416</v>
      </c>
      <c r="G330" t="s">
        <v>2417</v>
      </c>
      <c r="H330" t="s">
        <v>2389</v>
      </c>
      <c r="I330" t="s">
        <v>2418</v>
      </c>
      <c r="J330" s="2">
        <v>134000</v>
      </c>
      <c r="K330" s="3">
        <v>45568</v>
      </c>
      <c r="L330" t="s">
        <v>28</v>
      </c>
      <c r="M330" t="s">
        <v>2419</v>
      </c>
      <c r="N330" t="s">
        <v>98</v>
      </c>
      <c r="O330" s="2">
        <f t="shared" si="10"/>
        <v>134000</v>
      </c>
      <c r="P330" s="2">
        <f t="shared" si="11"/>
        <v>1608000</v>
      </c>
      <c r="Q330" s="13" t="s">
        <v>2420</v>
      </c>
      <c r="R330" s="9" t="s">
        <v>2421</v>
      </c>
      <c r="S330" s="3">
        <v>32181</v>
      </c>
    </row>
    <row r="331" spans="1:19">
      <c r="A331" t="s">
        <v>2422</v>
      </c>
      <c r="B331" t="s">
        <v>2423</v>
      </c>
      <c r="C331" t="s">
        <v>2424</v>
      </c>
      <c r="D331" t="s">
        <v>22</v>
      </c>
      <c r="E331" t="s">
        <v>2425</v>
      </c>
      <c r="F331" t="s">
        <v>2426</v>
      </c>
      <c r="G331" t="s">
        <v>2427</v>
      </c>
      <c r="H331" t="s">
        <v>2389</v>
      </c>
      <c r="I331" t="s">
        <v>2428</v>
      </c>
      <c r="J331" s="2">
        <v>176000</v>
      </c>
      <c r="K331" s="3">
        <v>45577</v>
      </c>
      <c r="L331" t="s">
        <v>28</v>
      </c>
      <c r="M331" t="s">
        <v>2429</v>
      </c>
      <c r="N331" t="s">
        <v>98</v>
      </c>
      <c r="O331" s="2">
        <f t="shared" si="10"/>
        <v>176000</v>
      </c>
      <c r="P331" s="2">
        <f t="shared" si="11"/>
        <v>2112000</v>
      </c>
      <c r="Q331" s="13" t="s">
        <v>2392</v>
      </c>
      <c r="R331" s="9" t="s">
        <v>2393</v>
      </c>
      <c r="S331" s="3">
        <v>34899</v>
      </c>
    </row>
    <row r="332" spans="1:19" ht="27.6">
      <c r="A332" t="s">
        <v>2430</v>
      </c>
      <c r="B332" t="s">
        <v>2431</v>
      </c>
      <c r="C332" t="s">
        <v>2432</v>
      </c>
      <c r="D332" t="s">
        <v>22</v>
      </c>
      <c r="E332" t="s">
        <v>2433</v>
      </c>
      <c r="F332" t="s">
        <v>2434</v>
      </c>
      <c r="G332" t="s">
        <v>2435</v>
      </c>
      <c r="H332" t="s">
        <v>2389</v>
      </c>
      <c r="I332" t="s">
        <v>2390</v>
      </c>
      <c r="J332" s="2">
        <v>128000</v>
      </c>
      <c r="K332" s="3">
        <v>45586</v>
      </c>
      <c r="L332" t="s">
        <v>28</v>
      </c>
      <c r="M332" t="s">
        <v>2436</v>
      </c>
      <c r="N332" t="s">
        <v>82</v>
      </c>
      <c r="O332" s="2">
        <f t="shared" si="10"/>
        <v>128000</v>
      </c>
      <c r="P332" s="2">
        <f t="shared" si="11"/>
        <v>1536000</v>
      </c>
      <c r="Q332" s="13" t="s">
        <v>2402</v>
      </c>
      <c r="R332" s="9" t="s">
        <v>2403</v>
      </c>
      <c r="S332" s="3">
        <v>37592</v>
      </c>
    </row>
    <row r="333" spans="1:19" ht="27.6">
      <c r="A333" t="s">
        <v>2437</v>
      </c>
      <c r="B333" t="s">
        <v>2438</v>
      </c>
      <c r="C333" t="s">
        <v>2439</v>
      </c>
      <c r="D333" t="s">
        <v>22</v>
      </c>
      <c r="E333" t="s">
        <v>2440</v>
      </c>
      <c r="F333" t="s">
        <v>2441</v>
      </c>
      <c r="G333" t="s">
        <v>2442</v>
      </c>
      <c r="H333" t="s">
        <v>2389</v>
      </c>
      <c r="I333" t="s">
        <v>2400</v>
      </c>
      <c r="J333" s="2">
        <v>97000</v>
      </c>
      <c r="K333" s="3">
        <v>45595</v>
      </c>
      <c r="L333" t="s">
        <v>28</v>
      </c>
      <c r="M333" t="s">
        <v>2443</v>
      </c>
      <c r="N333" t="s">
        <v>41</v>
      </c>
      <c r="O333" s="2">
        <f t="shared" si="10"/>
        <v>97000</v>
      </c>
      <c r="P333" s="2">
        <f t="shared" si="11"/>
        <v>1164000</v>
      </c>
      <c r="Q333" s="13" t="s">
        <v>2402</v>
      </c>
      <c r="R333" s="9" t="s">
        <v>2412</v>
      </c>
      <c r="S333" s="3">
        <v>29354</v>
      </c>
    </row>
    <row r="334" spans="1:19" ht="27.6">
      <c r="A334" t="s">
        <v>2444</v>
      </c>
      <c r="B334" t="s">
        <v>2445</v>
      </c>
      <c r="C334" t="s">
        <v>2446</v>
      </c>
      <c r="D334" t="s">
        <v>22</v>
      </c>
      <c r="E334" t="s">
        <v>2447</v>
      </c>
      <c r="F334" t="s">
        <v>2448</v>
      </c>
      <c r="G334" t="s">
        <v>2449</v>
      </c>
      <c r="H334" t="s">
        <v>2389</v>
      </c>
      <c r="I334" t="s">
        <v>2410</v>
      </c>
      <c r="J334" s="2">
        <v>157000</v>
      </c>
      <c r="K334" s="3">
        <v>45604</v>
      </c>
      <c r="L334" t="s">
        <v>28</v>
      </c>
      <c r="M334" t="s">
        <v>2450</v>
      </c>
      <c r="N334" t="s">
        <v>106</v>
      </c>
      <c r="O334" s="2">
        <f t="shared" si="10"/>
        <v>157000</v>
      </c>
      <c r="P334" s="2">
        <f t="shared" si="11"/>
        <v>1884000</v>
      </c>
      <c r="Q334" s="13" t="s">
        <v>2420</v>
      </c>
      <c r="R334" s="9" t="s">
        <v>2421</v>
      </c>
      <c r="S334" s="3">
        <v>32074</v>
      </c>
    </row>
    <row r="335" spans="1:19">
      <c r="A335" t="s">
        <v>2451</v>
      </c>
      <c r="B335" t="s">
        <v>2452</v>
      </c>
      <c r="C335" t="s">
        <v>2453</v>
      </c>
      <c r="D335" t="s">
        <v>22</v>
      </c>
      <c r="E335" t="s">
        <v>2454</v>
      </c>
      <c r="F335" t="s">
        <v>2455</v>
      </c>
      <c r="G335" t="s">
        <v>2456</v>
      </c>
      <c r="H335" t="s">
        <v>2389</v>
      </c>
      <c r="I335" t="s">
        <v>2418</v>
      </c>
      <c r="J335" s="2">
        <v>129000</v>
      </c>
      <c r="K335" s="3">
        <v>45613</v>
      </c>
      <c r="L335" t="s">
        <v>28</v>
      </c>
      <c r="M335" t="s">
        <v>2457</v>
      </c>
      <c r="N335" t="s">
        <v>98</v>
      </c>
      <c r="O335" s="2">
        <f t="shared" si="10"/>
        <v>129000</v>
      </c>
      <c r="P335" s="2">
        <f t="shared" si="11"/>
        <v>1548000</v>
      </c>
      <c r="Q335" s="13" t="s">
        <v>2392</v>
      </c>
      <c r="R335" s="9" t="s">
        <v>2393</v>
      </c>
      <c r="S335" s="3">
        <v>34400</v>
      </c>
    </row>
    <row r="336" spans="1:19" ht="27.6">
      <c r="A336" t="s">
        <v>2458</v>
      </c>
      <c r="B336" t="s">
        <v>2459</v>
      </c>
      <c r="C336" t="s">
        <v>454</v>
      </c>
      <c r="D336" t="s">
        <v>22</v>
      </c>
      <c r="E336" t="s">
        <v>2460</v>
      </c>
      <c r="F336" t="s">
        <v>2461</v>
      </c>
      <c r="G336" t="s">
        <v>2462</v>
      </c>
      <c r="H336" t="s">
        <v>2389</v>
      </c>
      <c r="I336" t="s">
        <v>2428</v>
      </c>
      <c r="J336" s="2">
        <v>76000</v>
      </c>
      <c r="K336" s="3">
        <v>45622</v>
      </c>
      <c r="L336" t="s">
        <v>28</v>
      </c>
      <c r="M336" t="s">
        <v>2463</v>
      </c>
      <c r="N336" t="s">
        <v>98</v>
      </c>
      <c r="O336" s="2">
        <f t="shared" si="10"/>
        <v>76000</v>
      </c>
      <c r="P336" s="2">
        <f t="shared" si="11"/>
        <v>912000</v>
      </c>
      <c r="Q336" s="13" t="s">
        <v>2402</v>
      </c>
      <c r="R336" s="9" t="s">
        <v>2403</v>
      </c>
      <c r="S336" s="3">
        <v>37121</v>
      </c>
    </row>
    <row r="337" spans="1:19" ht="27.6">
      <c r="A337" t="s">
        <v>2464</v>
      </c>
      <c r="B337" t="s">
        <v>2465</v>
      </c>
      <c r="C337" t="s">
        <v>2466</v>
      </c>
      <c r="D337" t="s">
        <v>22</v>
      </c>
      <c r="E337" t="s">
        <v>2467</v>
      </c>
      <c r="F337" t="s">
        <v>2468</v>
      </c>
      <c r="G337" t="s">
        <v>2469</v>
      </c>
      <c r="H337" t="s">
        <v>2389</v>
      </c>
      <c r="I337" t="s">
        <v>2390</v>
      </c>
      <c r="J337" s="2">
        <v>169000</v>
      </c>
      <c r="K337" s="3">
        <v>45631</v>
      </c>
      <c r="L337" t="s">
        <v>28</v>
      </c>
      <c r="M337" t="s">
        <v>2470</v>
      </c>
      <c r="N337" t="s">
        <v>204</v>
      </c>
      <c r="O337" s="2">
        <f t="shared" si="10"/>
        <v>169000</v>
      </c>
      <c r="P337" s="2">
        <f t="shared" si="11"/>
        <v>2028000</v>
      </c>
      <c r="Q337" s="13" t="s">
        <v>2402</v>
      </c>
      <c r="R337" s="9" t="s">
        <v>2412</v>
      </c>
      <c r="S337" s="3">
        <v>28856</v>
      </c>
    </row>
    <row r="338" spans="1:19" ht="27.6">
      <c r="A338" t="s">
        <v>2471</v>
      </c>
      <c r="B338" t="s">
        <v>2472</v>
      </c>
      <c r="C338" t="s">
        <v>2263</v>
      </c>
      <c r="D338" t="s">
        <v>22</v>
      </c>
      <c r="E338" t="s">
        <v>2473</v>
      </c>
      <c r="F338" t="s">
        <v>2474</v>
      </c>
      <c r="G338" t="s">
        <v>2475</v>
      </c>
      <c r="H338" t="s">
        <v>2389</v>
      </c>
      <c r="I338" t="s">
        <v>2400</v>
      </c>
      <c r="J338" s="2">
        <v>131000</v>
      </c>
      <c r="K338" s="3">
        <v>45640</v>
      </c>
      <c r="L338" t="s">
        <v>28</v>
      </c>
      <c r="M338" t="s">
        <v>2476</v>
      </c>
      <c r="N338" t="s">
        <v>41</v>
      </c>
      <c r="O338" s="2">
        <f t="shared" si="10"/>
        <v>131000</v>
      </c>
      <c r="P338" s="2">
        <f t="shared" si="11"/>
        <v>1572000</v>
      </c>
      <c r="Q338" s="13" t="s">
        <v>2420</v>
      </c>
      <c r="R338" s="9" t="s">
        <v>2421</v>
      </c>
      <c r="S338" s="3">
        <v>31575</v>
      </c>
    </row>
    <row r="339" spans="1:19">
      <c r="A339" t="s">
        <v>2477</v>
      </c>
      <c r="B339" t="s">
        <v>2478</v>
      </c>
      <c r="C339" t="s">
        <v>2479</v>
      </c>
      <c r="D339" t="s">
        <v>22</v>
      </c>
      <c r="E339" t="s">
        <v>2480</v>
      </c>
      <c r="F339" t="s">
        <v>2481</v>
      </c>
      <c r="G339" t="s">
        <v>2482</v>
      </c>
      <c r="H339" t="s">
        <v>2389</v>
      </c>
      <c r="I339" t="s">
        <v>2410</v>
      </c>
      <c r="J339" s="2">
        <v>135000</v>
      </c>
      <c r="K339" s="3">
        <v>45649</v>
      </c>
      <c r="L339" t="s">
        <v>28</v>
      </c>
      <c r="M339" t="s">
        <v>2483</v>
      </c>
      <c r="N339" t="s">
        <v>52</v>
      </c>
      <c r="O339" s="2">
        <f t="shared" si="10"/>
        <v>135000</v>
      </c>
      <c r="P339" s="2">
        <f t="shared" si="11"/>
        <v>1620000</v>
      </c>
      <c r="Q339" s="13" t="s">
        <v>2392</v>
      </c>
      <c r="R339" s="9" t="s">
        <v>2393</v>
      </c>
      <c r="S339" s="3">
        <v>34296</v>
      </c>
    </row>
    <row r="340" spans="1:19" ht="27.6">
      <c r="A340" t="s">
        <v>2484</v>
      </c>
      <c r="B340" t="s">
        <v>2485</v>
      </c>
      <c r="C340" t="s">
        <v>2486</v>
      </c>
      <c r="D340" t="s">
        <v>22</v>
      </c>
      <c r="E340" t="s">
        <v>2487</v>
      </c>
      <c r="F340" t="s">
        <v>2488</v>
      </c>
      <c r="G340" t="s">
        <v>2489</v>
      </c>
      <c r="H340" t="s">
        <v>2389</v>
      </c>
      <c r="I340" t="s">
        <v>2418</v>
      </c>
      <c r="J340" s="2">
        <v>172000</v>
      </c>
      <c r="K340" s="3">
        <v>45658</v>
      </c>
      <c r="L340" t="s">
        <v>28</v>
      </c>
      <c r="M340" t="s">
        <v>2490</v>
      </c>
      <c r="N340" t="s">
        <v>41</v>
      </c>
      <c r="O340" s="2">
        <f t="shared" si="10"/>
        <v>172000</v>
      </c>
      <c r="P340" s="2">
        <f t="shared" si="11"/>
        <v>2064000</v>
      </c>
      <c r="Q340" s="13" t="s">
        <v>2402</v>
      </c>
      <c r="R340" s="9" t="s">
        <v>2403</v>
      </c>
      <c r="S340" s="3">
        <v>36622</v>
      </c>
    </row>
    <row r="341" spans="1:19" ht="27.6">
      <c r="A341" t="s">
        <v>2491</v>
      </c>
      <c r="B341" t="s">
        <v>2492</v>
      </c>
      <c r="C341" t="s">
        <v>2493</v>
      </c>
      <c r="D341" t="s">
        <v>22</v>
      </c>
      <c r="E341" t="s">
        <v>2494</v>
      </c>
      <c r="F341" t="s">
        <v>2495</v>
      </c>
      <c r="G341" t="s">
        <v>2496</v>
      </c>
      <c r="H341" t="s">
        <v>2389</v>
      </c>
      <c r="I341" t="s">
        <v>2428</v>
      </c>
      <c r="J341" s="2">
        <v>154000</v>
      </c>
      <c r="K341" s="3">
        <v>45667</v>
      </c>
      <c r="L341" t="s">
        <v>28</v>
      </c>
      <c r="M341" t="s">
        <v>2497</v>
      </c>
      <c r="N341" t="s">
        <v>98</v>
      </c>
      <c r="O341" s="2">
        <f t="shared" si="10"/>
        <v>154000</v>
      </c>
      <c r="P341" s="2">
        <f t="shared" si="11"/>
        <v>1848000</v>
      </c>
      <c r="Q341" s="13" t="s">
        <v>2402</v>
      </c>
      <c r="R341" s="9" t="s">
        <v>2412</v>
      </c>
      <c r="S341" s="3">
        <v>28750</v>
      </c>
    </row>
    <row r="342" spans="1:19" ht="27.6">
      <c r="A342" t="s">
        <v>2498</v>
      </c>
      <c r="B342" t="s">
        <v>916</v>
      </c>
      <c r="C342" t="s">
        <v>2499</v>
      </c>
      <c r="D342" t="s">
        <v>22</v>
      </c>
      <c r="E342" t="s">
        <v>2500</v>
      </c>
      <c r="F342" t="s">
        <v>2501</v>
      </c>
      <c r="G342" t="s">
        <v>2502</v>
      </c>
      <c r="H342" t="s">
        <v>2389</v>
      </c>
      <c r="I342" t="s">
        <v>2390</v>
      </c>
      <c r="J342" s="2">
        <v>118000</v>
      </c>
      <c r="K342" s="3">
        <v>45676</v>
      </c>
      <c r="L342" t="s">
        <v>28</v>
      </c>
      <c r="M342" t="s">
        <v>2503</v>
      </c>
      <c r="N342" t="s">
        <v>30</v>
      </c>
      <c r="O342" s="2">
        <f t="shared" si="10"/>
        <v>118000</v>
      </c>
      <c r="P342" s="2">
        <f t="shared" si="11"/>
        <v>1416000</v>
      </c>
      <c r="Q342" s="13" t="s">
        <v>2420</v>
      </c>
      <c r="R342" s="9" t="s">
        <v>2421</v>
      </c>
      <c r="S342" s="3">
        <v>31106</v>
      </c>
    </row>
    <row r="343" spans="1:19">
      <c r="A343" t="s">
        <v>2504</v>
      </c>
      <c r="B343" t="s">
        <v>2505</v>
      </c>
      <c r="C343" t="s">
        <v>2506</v>
      </c>
      <c r="D343" t="s">
        <v>22</v>
      </c>
      <c r="E343" t="s">
        <v>2507</v>
      </c>
      <c r="F343" t="s">
        <v>2508</v>
      </c>
      <c r="G343" t="s">
        <v>2509</v>
      </c>
      <c r="H343" t="s">
        <v>2389</v>
      </c>
      <c r="I343" t="s">
        <v>2400</v>
      </c>
      <c r="J343" s="2">
        <v>75000</v>
      </c>
      <c r="K343" s="3">
        <v>45685</v>
      </c>
      <c r="L343" t="s">
        <v>28</v>
      </c>
      <c r="M343" t="s">
        <v>2510</v>
      </c>
      <c r="N343" t="s">
        <v>41</v>
      </c>
      <c r="O343" s="2">
        <f t="shared" si="10"/>
        <v>75000</v>
      </c>
      <c r="P343" s="2">
        <f t="shared" si="11"/>
        <v>900000</v>
      </c>
      <c r="Q343" s="13" t="s">
        <v>2392</v>
      </c>
      <c r="R343" s="9" t="s">
        <v>2393</v>
      </c>
      <c r="S343" s="3">
        <v>33796</v>
      </c>
    </row>
    <row r="344" spans="1:19" ht="27.6">
      <c r="A344" t="s">
        <v>2511</v>
      </c>
      <c r="B344" t="s">
        <v>2512</v>
      </c>
      <c r="C344" t="s">
        <v>2513</v>
      </c>
      <c r="D344" t="s">
        <v>22</v>
      </c>
      <c r="E344" t="s">
        <v>2514</v>
      </c>
      <c r="F344" t="s">
        <v>2515</v>
      </c>
      <c r="G344" t="s">
        <v>2516</v>
      </c>
      <c r="H344" t="s">
        <v>2389</v>
      </c>
      <c r="I344" t="s">
        <v>2410</v>
      </c>
      <c r="J344" s="2">
        <v>90000</v>
      </c>
      <c r="K344" s="3">
        <v>45694</v>
      </c>
      <c r="L344" t="s">
        <v>28</v>
      </c>
      <c r="M344" t="s">
        <v>2517</v>
      </c>
      <c r="N344" t="s">
        <v>82</v>
      </c>
      <c r="O344" s="2">
        <f t="shared" si="10"/>
        <v>90000</v>
      </c>
      <c r="P344" s="2">
        <f t="shared" si="11"/>
        <v>1080000</v>
      </c>
      <c r="Q344" s="13" t="s">
        <v>2402</v>
      </c>
      <c r="R344" s="9" t="s">
        <v>2403</v>
      </c>
      <c r="S344" s="3">
        <v>36516</v>
      </c>
    </row>
    <row r="345" spans="1:19" ht="27.6">
      <c r="A345" t="s">
        <v>2518</v>
      </c>
      <c r="B345" t="s">
        <v>1693</v>
      </c>
      <c r="C345" t="s">
        <v>2519</v>
      </c>
      <c r="D345" t="s">
        <v>22</v>
      </c>
      <c r="E345" t="s">
        <v>2520</v>
      </c>
      <c r="F345" t="s">
        <v>2521</v>
      </c>
      <c r="G345" t="s">
        <v>2522</v>
      </c>
      <c r="H345" t="s">
        <v>2389</v>
      </c>
      <c r="I345" t="s">
        <v>2418</v>
      </c>
      <c r="J345" s="2">
        <v>129000</v>
      </c>
      <c r="K345" s="3">
        <v>45703</v>
      </c>
      <c r="L345" t="s">
        <v>28</v>
      </c>
      <c r="M345" t="s">
        <v>2523</v>
      </c>
      <c r="N345" t="s">
        <v>82</v>
      </c>
      <c r="O345" s="2">
        <f t="shared" si="10"/>
        <v>129000</v>
      </c>
      <c r="P345" s="2">
        <f t="shared" si="11"/>
        <v>1548000</v>
      </c>
      <c r="Q345" s="13" t="s">
        <v>2402</v>
      </c>
      <c r="R345" s="9" t="s">
        <v>2412</v>
      </c>
      <c r="S345" s="3">
        <v>28250</v>
      </c>
    </row>
    <row r="346" spans="1:19" ht="27.6">
      <c r="A346" t="s">
        <v>2524</v>
      </c>
      <c r="B346" t="s">
        <v>2525</v>
      </c>
      <c r="C346" t="s">
        <v>2526</v>
      </c>
      <c r="D346" t="s">
        <v>22</v>
      </c>
      <c r="E346" t="s">
        <v>2527</v>
      </c>
      <c r="F346" t="s">
        <v>2528</v>
      </c>
      <c r="G346" t="s">
        <v>2529</v>
      </c>
      <c r="H346" t="s">
        <v>2389</v>
      </c>
      <c r="I346" t="s">
        <v>2428</v>
      </c>
      <c r="J346" s="2">
        <v>62000</v>
      </c>
      <c r="K346" s="3">
        <v>45712</v>
      </c>
      <c r="L346" t="s">
        <v>28</v>
      </c>
      <c r="M346" t="s">
        <v>2530</v>
      </c>
      <c r="N346" t="s">
        <v>204</v>
      </c>
      <c r="O346" s="2">
        <f t="shared" si="10"/>
        <v>62000</v>
      </c>
      <c r="P346" s="2">
        <f t="shared" si="11"/>
        <v>744000</v>
      </c>
      <c r="Q346" s="13" t="s">
        <v>2420</v>
      </c>
      <c r="R346" s="9" t="s">
        <v>2421</v>
      </c>
      <c r="S346" s="3">
        <v>30971</v>
      </c>
    </row>
    <row r="347" spans="1:19">
      <c r="A347" t="s">
        <v>2531</v>
      </c>
      <c r="B347" t="s">
        <v>2532</v>
      </c>
      <c r="C347" t="s">
        <v>2533</v>
      </c>
      <c r="D347" t="s">
        <v>22</v>
      </c>
      <c r="E347" t="s">
        <v>2534</v>
      </c>
      <c r="F347" t="s">
        <v>2535</v>
      </c>
      <c r="G347" t="s">
        <v>2536</v>
      </c>
      <c r="H347" t="s">
        <v>2389</v>
      </c>
      <c r="I347" t="s">
        <v>2390</v>
      </c>
      <c r="J347" s="2">
        <v>104000</v>
      </c>
      <c r="K347" s="3">
        <v>45721</v>
      </c>
      <c r="L347" t="s">
        <v>28</v>
      </c>
      <c r="M347" t="s">
        <v>2537</v>
      </c>
      <c r="N347" t="s">
        <v>52</v>
      </c>
      <c r="O347" s="2">
        <f t="shared" si="10"/>
        <v>104000</v>
      </c>
      <c r="P347" s="2">
        <f t="shared" si="11"/>
        <v>1248000</v>
      </c>
      <c r="Q347" s="13" t="s">
        <v>2392</v>
      </c>
      <c r="R347" s="9" t="s">
        <v>2393</v>
      </c>
      <c r="S347" s="3">
        <v>33324</v>
      </c>
    </row>
    <row r="348" spans="1:19" ht="27.6">
      <c r="A348" t="s">
        <v>2538</v>
      </c>
      <c r="B348" t="s">
        <v>2539</v>
      </c>
      <c r="C348" t="s">
        <v>537</v>
      </c>
      <c r="D348" t="s">
        <v>22</v>
      </c>
      <c r="E348" t="s">
        <v>2540</v>
      </c>
      <c r="F348" t="s">
        <v>2541</v>
      </c>
      <c r="G348" t="s">
        <v>2542</v>
      </c>
      <c r="H348" t="s">
        <v>2389</v>
      </c>
      <c r="I348" t="s">
        <v>2400</v>
      </c>
      <c r="J348" s="2">
        <v>130000</v>
      </c>
      <c r="K348" s="3">
        <v>45730</v>
      </c>
      <c r="L348" t="s">
        <v>28</v>
      </c>
      <c r="M348" t="s">
        <v>2543</v>
      </c>
      <c r="N348" t="s">
        <v>52</v>
      </c>
      <c r="O348" s="2">
        <f t="shared" si="10"/>
        <v>130000</v>
      </c>
      <c r="P348" s="2">
        <f t="shared" si="11"/>
        <v>1560000</v>
      </c>
      <c r="Q348" s="13" t="s">
        <v>2402</v>
      </c>
      <c r="R348" s="9" t="s">
        <v>2403</v>
      </c>
      <c r="S348" s="3">
        <v>36017</v>
      </c>
    </row>
    <row r="349" spans="1:19" ht="27.6">
      <c r="A349" t="s">
        <v>2544</v>
      </c>
      <c r="B349" t="s">
        <v>2545</v>
      </c>
      <c r="C349" t="s">
        <v>2546</v>
      </c>
      <c r="D349" t="s">
        <v>22</v>
      </c>
      <c r="E349" t="s">
        <v>2547</v>
      </c>
      <c r="F349" t="s">
        <v>2548</v>
      </c>
      <c r="G349" t="s">
        <v>2549</v>
      </c>
      <c r="H349" t="s">
        <v>2389</v>
      </c>
      <c r="I349" t="s">
        <v>2410</v>
      </c>
      <c r="J349" s="2">
        <v>111000</v>
      </c>
      <c r="K349" s="3">
        <v>45739</v>
      </c>
      <c r="L349" t="s">
        <v>28</v>
      </c>
      <c r="M349" t="s">
        <v>2550</v>
      </c>
      <c r="N349" t="s">
        <v>106</v>
      </c>
      <c r="O349" s="2">
        <f t="shared" si="10"/>
        <v>111000</v>
      </c>
      <c r="P349" s="2">
        <f t="shared" si="11"/>
        <v>1332000</v>
      </c>
      <c r="Q349" s="13" t="s">
        <v>2402</v>
      </c>
      <c r="R349" s="9" t="s">
        <v>2412</v>
      </c>
      <c r="S349" s="3">
        <v>27780</v>
      </c>
    </row>
    <row r="350" spans="1:19" ht="27.6">
      <c r="A350" t="s">
        <v>2551</v>
      </c>
      <c r="B350" t="s">
        <v>2552</v>
      </c>
      <c r="C350" t="s">
        <v>2344</v>
      </c>
      <c r="D350" t="s">
        <v>22</v>
      </c>
      <c r="E350" t="s">
        <v>2553</v>
      </c>
      <c r="F350" t="s">
        <v>2554</v>
      </c>
      <c r="G350" t="s">
        <v>2555</v>
      </c>
      <c r="H350" t="s">
        <v>2389</v>
      </c>
      <c r="I350" t="s">
        <v>2418</v>
      </c>
      <c r="J350" s="2">
        <v>101000</v>
      </c>
      <c r="K350" s="3">
        <v>45748</v>
      </c>
      <c r="L350" t="s">
        <v>218</v>
      </c>
      <c r="M350" t="s">
        <v>2556</v>
      </c>
      <c r="N350" t="s">
        <v>30</v>
      </c>
      <c r="O350" s="2">
        <f t="shared" si="10"/>
        <v>101000</v>
      </c>
      <c r="P350" s="2">
        <f t="shared" si="11"/>
        <v>1212000</v>
      </c>
      <c r="Q350" s="13" t="s">
        <v>2420</v>
      </c>
      <c r="R350" s="9" t="s">
        <v>2421</v>
      </c>
      <c r="S350" s="3">
        <v>30471</v>
      </c>
    </row>
    <row r="351" spans="1:19">
      <c r="A351" t="s">
        <v>2557</v>
      </c>
      <c r="B351" t="s">
        <v>2558</v>
      </c>
      <c r="C351" t="s">
        <v>2559</v>
      </c>
      <c r="D351" t="s">
        <v>22</v>
      </c>
      <c r="E351" t="s">
        <v>2560</v>
      </c>
      <c r="F351" t="s">
        <v>2561</v>
      </c>
      <c r="G351" t="s">
        <v>2562</v>
      </c>
      <c r="H351" t="s">
        <v>2389</v>
      </c>
      <c r="I351" t="s">
        <v>2428</v>
      </c>
      <c r="J351" s="2">
        <v>108000</v>
      </c>
      <c r="K351" s="3">
        <v>45757</v>
      </c>
      <c r="L351" t="s">
        <v>28</v>
      </c>
      <c r="M351" t="s">
        <v>2563</v>
      </c>
      <c r="N351" t="s">
        <v>41</v>
      </c>
      <c r="O351" s="2">
        <f t="shared" si="10"/>
        <v>108000</v>
      </c>
      <c r="P351" s="2">
        <f t="shared" si="11"/>
        <v>1296000</v>
      </c>
      <c r="Q351" s="13" t="s">
        <v>2392</v>
      </c>
      <c r="R351" s="9" t="s">
        <v>2393</v>
      </c>
      <c r="S351" s="3">
        <v>33192</v>
      </c>
    </row>
    <row r="352" spans="1:19">
      <c r="A352" t="s">
        <v>2564</v>
      </c>
      <c r="B352" t="s">
        <v>2565</v>
      </c>
      <c r="C352" t="s">
        <v>2566</v>
      </c>
      <c r="D352" t="s">
        <v>22</v>
      </c>
      <c r="E352" t="s">
        <v>2567</v>
      </c>
      <c r="F352" t="s">
        <v>2568</v>
      </c>
      <c r="G352" t="s">
        <v>2569</v>
      </c>
      <c r="H352" t="s">
        <v>2570</v>
      </c>
      <c r="I352" t="s">
        <v>2571</v>
      </c>
      <c r="J352" s="2">
        <v>96000</v>
      </c>
      <c r="K352" s="3">
        <v>45766</v>
      </c>
      <c r="L352" t="s">
        <v>28</v>
      </c>
      <c r="M352" t="s">
        <v>2572</v>
      </c>
      <c r="N352" t="s">
        <v>41</v>
      </c>
      <c r="O352" s="2">
        <f t="shared" si="10"/>
        <v>96000</v>
      </c>
      <c r="P352" s="2">
        <f t="shared" si="11"/>
        <v>1152000</v>
      </c>
      <c r="Q352" s="13" t="s">
        <v>107</v>
      </c>
      <c r="R352" s="9" t="s">
        <v>427</v>
      </c>
      <c r="S352" s="3">
        <v>35546</v>
      </c>
    </row>
    <row r="353" spans="1:19" ht="27.6">
      <c r="A353" t="s">
        <v>2573</v>
      </c>
      <c r="B353" t="s">
        <v>2574</v>
      </c>
      <c r="C353" t="s">
        <v>2575</v>
      </c>
      <c r="D353" t="s">
        <v>22</v>
      </c>
      <c r="E353" t="s">
        <v>2576</v>
      </c>
      <c r="F353" t="s">
        <v>2577</v>
      </c>
      <c r="G353" t="s">
        <v>2578</v>
      </c>
      <c r="H353" t="s">
        <v>2570</v>
      </c>
      <c r="I353" t="s">
        <v>2579</v>
      </c>
      <c r="J353" s="2">
        <v>99000</v>
      </c>
      <c r="K353" s="3">
        <v>45775</v>
      </c>
      <c r="L353" t="s">
        <v>28</v>
      </c>
      <c r="M353" t="s">
        <v>2580</v>
      </c>
      <c r="N353" t="s">
        <v>106</v>
      </c>
      <c r="O353" s="2">
        <f t="shared" si="10"/>
        <v>99000</v>
      </c>
      <c r="P353" s="2">
        <f t="shared" si="11"/>
        <v>1188000</v>
      </c>
      <c r="Q353" s="13" t="s">
        <v>618</v>
      </c>
      <c r="R353" s="9" t="s">
        <v>43</v>
      </c>
      <c r="S353" s="3">
        <v>38239</v>
      </c>
    </row>
    <row r="354" spans="1:19" ht="27.6">
      <c r="A354" t="s">
        <v>2581</v>
      </c>
      <c r="B354" t="s">
        <v>2582</v>
      </c>
      <c r="C354" t="s">
        <v>2583</v>
      </c>
      <c r="D354" t="s">
        <v>22</v>
      </c>
      <c r="E354" t="s">
        <v>2584</v>
      </c>
      <c r="F354" t="s">
        <v>2585</v>
      </c>
      <c r="G354" t="s">
        <v>2586</v>
      </c>
      <c r="H354" t="s">
        <v>2570</v>
      </c>
      <c r="I354" t="s">
        <v>2587</v>
      </c>
      <c r="J354" s="2">
        <v>124000</v>
      </c>
      <c r="K354" s="3">
        <v>45784</v>
      </c>
      <c r="L354" t="s">
        <v>28</v>
      </c>
      <c r="M354" t="s">
        <v>2588</v>
      </c>
      <c r="N354" t="s">
        <v>204</v>
      </c>
      <c r="O354" s="2">
        <f t="shared" si="10"/>
        <v>124000</v>
      </c>
      <c r="P354" s="2">
        <f t="shared" si="11"/>
        <v>1488000</v>
      </c>
      <c r="Q354" s="13" t="s">
        <v>31</v>
      </c>
      <c r="R354" s="9" t="s">
        <v>32</v>
      </c>
      <c r="S354" s="3">
        <v>30002</v>
      </c>
    </row>
    <row r="355" spans="1:19">
      <c r="A355" t="s">
        <v>2589</v>
      </c>
      <c r="B355" t="s">
        <v>2590</v>
      </c>
      <c r="C355" t="s">
        <v>2591</v>
      </c>
      <c r="D355" t="s">
        <v>22</v>
      </c>
      <c r="E355" t="s">
        <v>2592</v>
      </c>
      <c r="F355" t="s">
        <v>2593</v>
      </c>
      <c r="G355" t="s">
        <v>2594</v>
      </c>
      <c r="H355" t="s">
        <v>2570</v>
      </c>
      <c r="I355" t="s">
        <v>2595</v>
      </c>
      <c r="J355" s="2">
        <v>135000</v>
      </c>
      <c r="K355" s="3">
        <v>45793</v>
      </c>
      <c r="L355" t="s">
        <v>28</v>
      </c>
      <c r="M355" t="s">
        <v>2596</v>
      </c>
      <c r="N355" t="s">
        <v>52</v>
      </c>
      <c r="O355" s="2">
        <f t="shared" si="10"/>
        <v>135000</v>
      </c>
      <c r="P355" s="2">
        <f t="shared" si="11"/>
        <v>1620000</v>
      </c>
      <c r="Q355" s="13" t="s">
        <v>2597</v>
      </c>
      <c r="R355" s="9" t="s">
        <v>2421</v>
      </c>
      <c r="S355" s="3">
        <v>32692</v>
      </c>
    </row>
    <row r="356" spans="1:19">
      <c r="A356" t="s">
        <v>2598</v>
      </c>
      <c r="B356" t="s">
        <v>2599</v>
      </c>
      <c r="C356" t="s">
        <v>2600</v>
      </c>
      <c r="D356" t="s">
        <v>22</v>
      </c>
      <c r="E356" t="s">
        <v>2601</v>
      </c>
      <c r="F356" t="s">
        <v>2602</v>
      </c>
      <c r="G356" t="s">
        <v>2603</v>
      </c>
      <c r="H356" t="s">
        <v>2570</v>
      </c>
      <c r="I356" t="s">
        <v>2604</v>
      </c>
      <c r="J356" s="2">
        <v>162000</v>
      </c>
      <c r="K356" s="3">
        <v>45802</v>
      </c>
      <c r="L356" t="s">
        <v>28</v>
      </c>
      <c r="M356" t="s">
        <v>2605</v>
      </c>
      <c r="N356" t="s">
        <v>204</v>
      </c>
      <c r="O356" s="2">
        <f t="shared" si="10"/>
        <v>162000</v>
      </c>
      <c r="P356" s="2">
        <f t="shared" si="11"/>
        <v>1944000</v>
      </c>
      <c r="Q356" s="13" t="s">
        <v>137</v>
      </c>
      <c r="R356" s="9" t="s">
        <v>427</v>
      </c>
      <c r="S356" s="3">
        <v>35413</v>
      </c>
    </row>
    <row r="357" spans="1:19" ht="27.6">
      <c r="A357" t="s">
        <v>2606</v>
      </c>
      <c r="B357" t="s">
        <v>2607</v>
      </c>
      <c r="C357" t="s">
        <v>2395</v>
      </c>
      <c r="D357" t="s">
        <v>22</v>
      </c>
      <c r="E357" t="s">
        <v>2608</v>
      </c>
      <c r="F357" t="s">
        <v>2609</v>
      </c>
      <c r="G357" t="s">
        <v>2610</v>
      </c>
      <c r="H357" t="s">
        <v>2570</v>
      </c>
      <c r="I357" t="s">
        <v>2571</v>
      </c>
      <c r="J357" s="2">
        <v>103000</v>
      </c>
      <c r="K357" s="3">
        <v>45811</v>
      </c>
      <c r="L357" t="s">
        <v>28</v>
      </c>
      <c r="M357" t="s">
        <v>2611</v>
      </c>
      <c r="N357" t="s">
        <v>52</v>
      </c>
      <c r="O357" s="2">
        <f t="shared" si="10"/>
        <v>103000</v>
      </c>
      <c r="P357" s="2">
        <f t="shared" si="11"/>
        <v>1236000</v>
      </c>
      <c r="Q357" s="13" t="s">
        <v>618</v>
      </c>
      <c r="R357" s="9" t="s">
        <v>43</v>
      </c>
      <c r="S357" s="3">
        <v>37766</v>
      </c>
    </row>
    <row r="358" spans="1:19" ht="27.6">
      <c r="A358" t="s">
        <v>2612</v>
      </c>
      <c r="B358" t="s">
        <v>2613</v>
      </c>
      <c r="C358" t="s">
        <v>1653</v>
      </c>
      <c r="D358" t="s">
        <v>22</v>
      </c>
      <c r="E358" t="s">
        <v>2614</v>
      </c>
      <c r="F358" t="s">
        <v>2615</v>
      </c>
      <c r="G358" t="s">
        <v>2616</v>
      </c>
      <c r="H358" t="s">
        <v>2570</v>
      </c>
      <c r="I358" t="s">
        <v>2579</v>
      </c>
      <c r="J358" s="2">
        <v>111000</v>
      </c>
      <c r="K358" s="3">
        <v>45820</v>
      </c>
      <c r="L358" t="s">
        <v>28</v>
      </c>
      <c r="M358" t="s">
        <v>2617</v>
      </c>
      <c r="N358" t="s">
        <v>41</v>
      </c>
      <c r="O358" s="2">
        <f t="shared" si="10"/>
        <v>111000</v>
      </c>
      <c r="P358" s="2">
        <f t="shared" si="11"/>
        <v>1332000</v>
      </c>
      <c r="Q358" s="13" t="s">
        <v>74</v>
      </c>
      <c r="R358" s="9" t="s">
        <v>32</v>
      </c>
      <c r="S358" s="3">
        <v>29867</v>
      </c>
    </row>
    <row r="359" spans="1:19">
      <c r="A359" t="s">
        <v>2618</v>
      </c>
      <c r="B359" t="s">
        <v>2619</v>
      </c>
      <c r="C359" t="s">
        <v>2620</v>
      </c>
      <c r="D359" t="s">
        <v>22</v>
      </c>
      <c r="E359" t="s">
        <v>2621</v>
      </c>
      <c r="F359" t="s">
        <v>2622</v>
      </c>
      <c r="G359" t="s">
        <v>2623</v>
      </c>
      <c r="H359" t="s">
        <v>2570</v>
      </c>
      <c r="I359" t="s">
        <v>2587</v>
      </c>
      <c r="J359" s="2">
        <v>156000</v>
      </c>
      <c r="K359" s="3">
        <v>45829</v>
      </c>
      <c r="L359" t="s">
        <v>28</v>
      </c>
      <c r="M359" t="s">
        <v>2624</v>
      </c>
      <c r="N359" t="s">
        <v>73</v>
      </c>
      <c r="O359" s="2">
        <f t="shared" si="10"/>
        <v>156000</v>
      </c>
      <c r="P359" s="2">
        <f t="shared" si="11"/>
        <v>1872000</v>
      </c>
      <c r="Q359" s="13" t="s">
        <v>2597</v>
      </c>
      <c r="R359" s="9" t="s">
        <v>2421</v>
      </c>
      <c r="S359" s="3">
        <v>32221</v>
      </c>
    </row>
    <row r="360" spans="1:19" ht="27.6">
      <c r="A360" t="s">
        <v>2625</v>
      </c>
      <c r="B360" t="s">
        <v>2626</v>
      </c>
      <c r="C360" t="s">
        <v>2627</v>
      </c>
      <c r="D360" t="s">
        <v>22</v>
      </c>
      <c r="E360" t="s">
        <v>2628</v>
      </c>
      <c r="F360" t="s">
        <v>2629</v>
      </c>
      <c r="G360" t="s">
        <v>2630</v>
      </c>
      <c r="H360" t="s">
        <v>2570</v>
      </c>
      <c r="I360" t="s">
        <v>2595</v>
      </c>
      <c r="J360" s="2">
        <v>68000</v>
      </c>
      <c r="K360" s="3">
        <v>45838</v>
      </c>
      <c r="L360" t="s">
        <v>28</v>
      </c>
      <c r="M360" t="s">
        <v>2631</v>
      </c>
      <c r="N360" t="s">
        <v>98</v>
      </c>
      <c r="O360" s="2">
        <f t="shared" si="10"/>
        <v>68000</v>
      </c>
      <c r="P360" s="2">
        <f t="shared" si="11"/>
        <v>816000</v>
      </c>
      <c r="Q360" s="13" t="s">
        <v>167</v>
      </c>
      <c r="R360" s="9" t="s">
        <v>427</v>
      </c>
      <c r="S360" s="3">
        <v>34913</v>
      </c>
    </row>
    <row r="361" spans="1:19" ht="27.6">
      <c r="A361" t="s">
        <v>2632</v>
      </c>
      <c r="B361" t="s">
        <v>1057</v>
      </c>
      <c r="C361" t="s">
        <v>2633</v>
      </c>
      <c r="D361" t="s">
        <v>22</v>
      </c>
      <c r="E361" t="s">
        <v>2634</v>
      </c>
      <c r="F361" t="s">
        <v>2635</v>
      </c>
      <c r="G361" t="s">
        <v>2636</v>
      </c>
      <c r="H361" t="s">
        <v>2570</v>
      </c>
      <c r="I361" t="s">
        <v>2604</v>
      </c>
      <c r="J361" s="2">
        <v>97000</v>
      </c>
      <c r="K361" s="3">
        <v>45847</v>
      </c>
      <c r="L361" t="s">
        <v>28</v>
      </c>
      <c r="M361" t="s">
        <v>2637</v>
      </c>
      <c r="N361" t="s">
        <v>82</v>
      </c>
      <c r="O361" s="2">
        <f t="shared" si="10"/>
        <v>97000</v>
      </c>
      <c r="P361" s="2">
        <f t="shared" si="11"/>
        <v>1164000</v>
      </c>
      <c r="Q361" s="13" t="s">
        <v>618</v>
      </c>
      <c r="R361" s="9" t="s">
        <v>43</v>
      </c>
      <c r="S361" s="3">
        <v>37269</v>
      </c>
    </row>
    <row r="362" spans="1:19">
      <c r="A362" t="s">
        <v>2638</v>
      </c>
      <c r="B362" t="s">
        <v>2639</v>
      </c>
      <c r="C362" t="s">
        <v>2640</v>
      </c>
      <c r="D362" t="s">
        <v>22</v>
      </c>
      <c r="E362" t="s">
        <v>2641</v>
      </c>
      <c r="F362" t="s">
        <v>2642</v>
      </c>
      <c r="G362" t="s">
        <v>2643</v>
      </c>
      <c r="H362" t="s">
        <v>2570</v>
      </c>
      <c r="I362" t="s">
        <v>2571</v>
      </c>
      <c r="J362" s="2">
        <v>79000</v>
      </c>
      <c r="K362" s="3">
        <v>45856</v>
      </c>
      <c r="L362" t="s">
        <v>28</v>
      </c>
      <c r="M362" t="s">
        <v>2644</v>
      </c>
      <c r="N362" t="s">
        <v>52</v>
      </c>
      <c r="O362" s="2">
        <f t="shared" si="10"/>
        <v>79000</v>
      </c>
      <c r="P362" s="2">
        <f t="shared" si="11"/>
        <v>948000</v>
      </c>
      <c r="Q362" s="13" t="s">
        <v>107</v>
      </c>
      <c r="R362" s="9" t="s">
        <v>32</v>
      </c>
      <c r="S362" s="3">
        <v>29396</v>
      </c>
    </row>
    <row r="363" spans="1:19">
      <c r="A363" t="s">
        <v>2645</v>
      </c>
      <c r="B363" t="s">
        <v>2646</v>
      </c>
      <c r="C363" t="s">
        <v>2647</v>
      </c>
      <c r="D363" t="s">
        <v>22</v>
      </c>
      <c r="E363" t="s">
        <v>2648</v>
      </c>
      <c r="F363" t="s">
        <v>2649</v>
      </c>
      <c r="G363" t="s">
        <v>2650</v>
      </c>
      <c r="H363" t="s">
        <v>2570</v>
      </c>
      <c r="I363" t="s">
        <v>2579</v>
      </c>
      <c r="J363" s="2">
        <v>166000</v>
      </c>
      <c r="K363" s="3">
        <v>45865</v>
      </c>
      <c r="L363" t="s">
        <v>28</v>
      </c>
      <c r="M363" t="s">
        <v>2651</v>
      </c>
      <c r="N363" t="s">
        <v>204</v>
      </c>
      <c r="O363" s="2">
        <f t="shared" si="10"/>
        <v>166000</v>
      </c>
      <c r="P363" s="2">
        <f t="shared" si="11"/>
        <v>1992000</v>
      </c>
      <c r="Q363" s="13" t="s">
        <v>2597</v>
      </c>
      <c r="R363" s="9" t="s">
        <v>2421</v>
      </c>
      <c r="S363" s="3">
        <v>32088</v>
      </c>
    </row>
    <row r="364" spans="1:19" ht="27.6">
      <c r="A364" t="s">
        <v>2652</v>
      </c>
      <c r="B364" t="s">
        <v>2653</v>
      </c>
      <c r="C364" t="s">
        <v>2654</v>
      </c>
      <c r="D364" t="s">
        <v>22</v>
      </c>
      <c r="E364" t="s">
        <v>2655</v>
      </c>
      <c r="F364" t="s">
        <v>2656</v>
      </c>
      <c r="G364" t="s">
        <v>2657</v>
      </c>
      <c r="H364" t="s">
        <v>2570</v>
      </c>
      <c r="I364" t="s">
        <v>2587</v>
      </c>
      <c r="J364" s="2">
        <v>68000</v>
      </c>
      <c r="K364" s="3">
        <v>45874</v>
      </c>
      <c r="L364" t="s">
        <v>28</v>
      </c>
      <c r="M364" t="s">
        <v>2658</v>
      </c>
      <c r="N364" t="s">
        <v>98</v>
      </c>
      <c r="O364" s="2">
        <f t="shared" si="10"/>
        <v>68000</v>
      </c>
      <c r="P364" s="2">
        <f t="shared" si="11"/>
        <v>816000</v>
      </c>
      <c r="Q364" s="13" t="s">
        <v>31</v>
      </c>
      <c r="R364" s="9" t="s">
        <v>427</v>
      </c>
      <c r="S364" s="3">
        <v>34442</v>
      </c>
    </row>
    <row r="365" spans="1:19" ht="27.6">
      <c r="A365" t="s">
        <v>2659</v>
      </c>
      <c r="B365" t="s">
        <v>2660</v>
      </c>
      <c r="C365" t="s">
        <v>2661</v>
      </c>
      <c r="D365" t="s">
        <v>22</v>
      </c>
      <c r="E365" t="s">
        <v>2662</v>
      </c>
      <c r="F365" t="s">
        <v>2663</v>
      </c>
      <c r="G365" t="s">
        <v>2664</v>
      </c>
      <c r="H365" t="s">
        <v>2570</v>
      </c>
      <c r="I365" t="s">
        <v>2595</v>
      </c>
      <c r="J365" s="2">
        <v>87000</v>
      </c>
      <c r="K365" s="3">
        <v>45883</v>
      </c>
      <c r="L365" t="s">
        <v>28</v>
      </c>
      <c r="M365" t="s">
        <v>2665</v>
      </c>
      <c r="N365" t="s">
        <v>52</v>
      </c>
      <c r="O365" s="2">
        <f t="shared" si="10"/>
        <v>87000</v>
      </c>
      <c r="P365" s="2">
        <f t="shared" si="11"/>
        <v>1044000</v>
      </c>
      <c r="Q365" s="13" t="s">
        <v>618</v>
      </c>
      <c r="R365" s="9" t="s">
        <v>43</v>
      </c>
      <c r="S365" s="3">
        <v>37135</v>
      </c>
    </row>
    <row r="366" spans="1:19">
      <c r="A366" t="s">
        <v>2666</v>
      </c>
      <c r="B366" t="s">
        <v>2667</v>
      </c>
      <c r="C366" t="s">
        <v>2668</v>
      </c>
      <c r="D366" t="s">
        <v>22</v>
      </c>
      <c r="E366" t="s">
        <v>2669</v>
      </c>
      <c r="F366" t="s">
        <v>2670</v>
      </c>
      <c r="G366" t="s">
        <v>2671</v>
      </c>
      <c r="H366" t="s">
        <v>2570</v>
      </c>
      <c r="I366" t="s">
        <v>2604</v>
      </c>
      <c r="J366" s="2">
        <v>140000</v>
      </c>
      <c r="K366" s="3">
        <v>45892</v>
      </c>
      <c r="L366" t="s">
        <v>28</v>
      </c>
      <c r="M366" t="s">
        <v>2672</v>
      </c>
      <c r="N366" t="s">
        <v>106</v>
      </c>
      <c r="O366" s="2">
        <f t="shared" si="10"/>
        <v>140000</v>
      </c>
      <c r="P366" s="2">
        <f t="shared" si="11"/>
        <v>1680000</v>
      </c>
      <c r="Q366" s="13" t="s">
        <v>137</v>
      </c>
      <c r="R366" s="9" t="s">
        <v>32</v>
      </c>
      <c r="S366" s="3">
        <v>28898</v>
      </c>
    </row>
    <row r="367" spans="1:19">
      <c r="A367" t="s">
        <v>2673</v>
      </c>
      <c r="B367" t="s">
        <v>2674</v>
      </c>
      <c r="C367" t="s">
        <v>680</v>
      </c>
      <c r="D367" t="s">
        <v>22</v>
      </c>
      <c r="E367" t="s">
        <v>2675</v>
      </c>
      <c r="F367" t="s">
        <v>2676</v>
      </c>
      <c r="G367" t="s">
        <v>2677</v>
      </c>
      <c r="H367" t="s">
        <v>2570</v>
      </c>
      <c r="I367" t="s">
        <v>2571</v>
      </c>
      <c r="J367" s="2">
        <v>126000</v>
      </c>
      <c r="K367" s="3">
        <v>45901</v>
      </c>
      <c r="L367" t="s">
        <v>28</v>
      </c>
      <c r="M367" t="s">
        <v>2678</v>
      </c>
      <c r="N367" t="s">
        <v>30</v>
      </c>
      <c r="O367" s="2">
        <f t="shared" si="10"/>
        <v>126000</v>
      </c>
      <c r="P367" s="2">
        <f t="shared" si="11"/>
        <v>1512000</v>
      </c>
      <c r="Q367" s="13" t="s">
        <v>2597</v>
      </c>
      <c r="R367" s="9" t="s">
        <v>2421</v>
      </c>
      <c r="S367" s="3">
        <v>31616</v>
      </c>
    </row>
    <row r="368" spans="1:19" ht="27.6">
      <c r="A368" t="s">
        <v>2679</v>
      </c>
      <c r="B368" t="s">
        <v>2680</v>
      </c>
      <c r="C368" t="s">
        <v>2681</v>
      </c>
      <c r="D368" t="s">
        <v>22</v>
      </c>
      <c r="E368" t="s">
        <v>2682</v>
      </c>
      <c r="F368" t="s">
        <v>2683</v>
      </c>
      <c r="G368" t="s">
        <v>2684</v>
      </c>
      <c r="H368" t="s">
        <v>2570</v>
      </c>
      <c r="I368" t="s">
        <v>2579</v>
      </c>
      <c r="J368" s="2">
        <v>165000</v>
      </c>
      <c r="K368" s="3">
        <v>45910</v>
      </c>
      <c r="L368" t="s">
        <v>28</v>
      </c>
      <c r="M368" t="s">
        <v>2685</v>
      </c>
      <c r="N368" t="s">
        <v>106</v>
      </c>
      <c r="O368" s="2">
        <f t="shared" si="10"/>
        <v>165000</v>
      </c>
      <c r="P368" s="2">
        <f t="shared" si="11"/>
        <v>1980000</v>
      </c>
      <c r="Q368" s="13" t="s">
        <v>74</v>
      </c>
      <c r="R368" s="9" t="s">
        <v>427</v>
      </c>
      <c r="S368" s="3">
        <v>34309</v>
      </c>
    </row>
    <row r="369" spans="1:19" ht="27.6">
      <c r="A369" t="s">
        <v>2686</v>
      </c>
      <c r="B369" t="s">
        <v>2687</v>
      </c>
      <c r="C369" t="s">
        <v>2485</v>
      </c>
      <c r="D369" t="s">
        <v>22</v>
      </c>
      <c r="E369" t="s">
        <v>2688</v>
      </c>
      <c r="F369" t="s">
        <v>2689</v>
      </c>
      <c r="G369" t="s">
        <v>2690</v>
      </c>
      <c r="H369" t="s">
        <v>2570</v>
      </c>
      <c r="I369" t="s">
        <v>2587</v>
      </c>
      <c r="J369" s="2">
        <v>134000</v>
      </c>
      <c r="K369" s="3">
        <v>45919</v>
      </c>
      <c r="L369" t="s">
        <v>28</v>
      </c>
      <c r="M369" t="s">
        <v>2691</v>
      </c>
      <c r="N369" t="s">
        <v>73</v>
      </c>
      <c r="O369" s="2">
        <f t="shared" si="10"/>
        <v>134000</v>
      </c>
      <c r="P369" s="2">
        <f t="shared" si="11"/>
        <v>1608000</v>
      </c>
      <c r="Q369" s="13" t="s">
        <v>618</v>
      </c>
      <c r="R369" s="9" t="s">
        <v>43</v>
      </c>
      <c r="S369" s="3">
        <v>36663</v>
      </c>
    </row>
    <row r="370" spans="1:19" ht="27.6">
      <c r="A370" t="s">
        <v>2692</v>
      </c>
      <c r="B370" t="s">
        <v>2693</v>
      </c>
      <c r="C370" t="s">
        <v>2694</v>
      </c>
      <c r="D370" t="s">
        <v>22</v>
      </c>
      <c r="E370" t="s">
        <v>2695</v>
      </c>
      <c r="F370" t="s">
        <v>2696</v>
      </c>
      <c r="G370" t="s">
        <v>2697</v>
      </c>
      <c r="H370" t="s">
        <v>2570</v>
      </c>
      <c r="I370" t="s">
        <v>2595</v>
      </c>
      <c r="J370" s="2">
        <v>83000</v>
      </c>
      <c r="K370" s="3">
        <v>45928</v>
      </c>
      <c r="L370" t="s">
        <v>28</v>
      </c>
      <c r="M370" t="s">
        <v>2698</v>
      </c>
      <c r="N370" t="s">
        <v>106</v>
      </c>
      <c r="O370" s="2">
        <f t="shared" si="10"/>
        <v>83000</v>
      </c>
      <c r="P370" s="2">
        <f t="shared" si="11"/>
        <v>996000</v>
      </c>
      <c r="Q370" s="13" t="s">
        <v>167</v>
      </c>
      <c r="R370" s="9" t="s">
        <v>32</v>
      </c>
      <c r="S370" s="3">
        <v>28791</v>
      </c>
    </row>
    <row r="371" spans="1:19">
      <c r="A371" t="s">
        <v>2699</v>
      </c>
      <c r="B371" t="s">
        <v>2700</v>
      </c>
      <c r="C371" t="s">
        <v>2701</v>
      </c>
      <c r="D371" t="s">
        <v>22</v>
      </c>
      <c r="E371" t="s">
        <v>2702</v>
      </c>
      <c r="F371" t="s">
        <v>2703</v>
      </c>
      <c r="G371" t="s">
        <v>2704</v>
      </c>
      <c r="H371" t="s">
        <v>2570</v>
      </c>
      <c r="I371" t="s">
        <v>2604</v>
      </c>
      <c r="J371" s="2">
        <v>81000</v>
      </c>
      <c r="K371" s="3">
        <v>45937</v>
      </c>
      <c r="L371" t="s">
        <v>28</v>
      </c>
      <c r="M371" t="s">
        <v>2705</v>
      </c>
      <c r="N371" t="s">
        <v>30</v>
      </c>
      <c r="O371" s="2">
        <f t="shared" si="10"/>
        <v>81000</v>
      </c>
      <c r="P371" s="2">
        <f t="shared" si="11"/>
        <v>972000</v>
      </c>
      <c r="Q371" s="13" t="s">
        <v>2597</v>
      </c>
      <c r="R371" s="9" t="s">
        <v>2421</v>
      </c>
      <c r="S371" s="3">
        <v>31117</v>
      </c>
    </row>
    <row r="372" spans="1:19">
      <c r="A372" t="s">
        <v>2706</v>
      </c>
      <c r="B372" t="s">
        <v>2707</v>
      </c>
      <c r="C372" t="s">
        <v>2708</v>
      </c>
      <c r="D372" t="s">
        <v>22</v>
      </c>
      <c r="E372" t="s">
        <v>2709</v>
      </c>
      <c r="F372" t="s">
        <v>2710</v>
      </c>
      <c r="G372" t="s">
        <v>2711</v>
      </c>
      <c r="H372" t="s">
        <v>2570</v>
      </c>
      <c r="I372" t="s">
        <v>2571</v>
      </c>
      <c r="J372" s="2">
        <v>134000</v>
      </c>
      <c r="K372" s="3">
        <v>45946</v>
      </c>
      <c r="L372" t="s">
        <v>28</v>
      </c>
      <c r="M372" t="s">
        <v>2712</v>
      </c>
      <c r="N372" t="s">
        <v>52</v>
      </c>
      <c r="O372" s="2">
        <f t="shared" si="10"/>
        <v>134000</v>
      </c>
      <c r="P372" s="2">
        <f t="shared" si="11"/>
        <v>1608000</v>
      </c>
      <c r="Q372" s="13" t="s">
        <v>107</v>
      </c>
      <c r="R372" s="9" t="s">
        <v>427</v>
      </c>
      <c r="S372" s="3">
        <v>33838</v>
      </c>
    </row>
    <row r="373" spans="1:19" ht="27.6">
      <c r="A373" t="s">
        <v>2713</v>
      </c>
      <c r="B373" t="s">
        <v>2714</v>
      </c>
      <c r="C373" t="s">
        <v>2715</v>
      </c>
      <c r="D373" t="s">
        <v>22</v>
      </c>
      <c r="E373" t="s">
        <v>2716</v>
      </c>
      <c r="F373" t="s">
        <v>2717</v>
      </c>
      <c r="G373" t="s">
        <v>2718</v>
      </c>
      <c r="H373" t="s">
        <v>2570</v>
      </c>
      <c r="I373" t="s">
        <v>2579</v>
      </c>
      <c r="J373" s="2">
        <v>132000</v>
      </c>
      <c r="K373" s="3">
        <v>45955</v>
      </c>
      <c r="L373" t="s">
        <v>28</v>
      </c>
      <c r="M373" t="s">
        <v>2719</v>
      </c>
      <c r="N373" t="s">
        <v>52</v>
      </c>
      <c r="O373" s="2">
        <f t="shared" si="10"/>
        <v>132000</v>
      </c>
      <c r="P373" s="2">
        <f t="shared" si="11"/>
        <v>1584000</v>
      </c>
      <c r="Q373" s="13" t="s">
        <v>618</v>
      </c>
      <c r="R373" s="9" t="s">
        <v>43</v>
      </c>
      <c r="S373" s="3">
        <v>36165</v>
      </c>
    </row>
    <row r="374" spans="1:19" ht="27.6">
      <c r="A374" t="s">
        <v>2720</v>
      </c>
      <c r="B374" t="s">
        <v>2721</v>
      </c>
      <c r="C374" t="s">
        <v>2722</v>
      </c>
      <c r="D374" t="s">
        <v>22</v>
      </c>
      <c r="E374" t="s">
        <v>2723</v>
      </c>
      <c r="F374" t="s">
        <v>2724</v>
      </c>
      <c r="G374" t="s">
        <v>2725</v>
      </c>
      <c r="H374" t="s">
        <v>2570</v>
      </c>
      <c r="I374" t="s">
        <v>2587</v>
      </c>
      <c r="J374" s="2">
        <v>158000</v>
      </c>
      <c r="K374" s="3">
        <v>45964</v>
      </c>
      <c r="L374" t="s">
        <v>28</v>
      </c>
      <c r="M374" t="s">
        <v>2726</v>
      </c>
      <c r="N374" t="s">
        <v>82</v>
      </c>
      <c r="O374" s="2">
        <f t="shared" si="10"/>
        <v>158000</v>
      </c>
      <c r="P374" s="2">
        <f t="shared" si="11"/>
        <v>1896000</v>
      </c>
      <c r="Q374" s="13" t="s">
        <v>31</v>
      </c>
      <c r="R374" s="9" t="s">
        <v>32</v>
      </c>
      <c r="S374" s="3">
        <v>28292</v>
      </c>
    </row>
    <row r="375" spans="1:19">
      <c r="A375" t="s">
        <v>2727</v>
      </c>
      <c r="B375" t="s">
        <v>2728</v>
      </c>
      <c r="C375" t="s">
        <v>2729</v>
      </c>
      <c r="D375" t="s">
        <v>22</v>
      </c>
      <c r="E375" t="s">
        <v>2730</v>
      </c>
      <c r="F375" t="s">
        <v>2731</v>
      </c>
      <c r="G375" t="s">
        <v>2732</v>
      </c>
      <c r="H375" t="s">
        <v>2570</v>
      </c>
      <c r="I375" t="s">
        <v>2595</v>
      </c>
      <c r="J375" s="2">
        <v>75000</v>
      </c>
      <c r="K375" s="3">
        <v>45973</v>
      </c>
      <c r="L375" t="s">
        <v>218</v>
      </c>
      <c r="M375" t="s">
        <v>2733</v>
      </c>
      <c r="N375" t="s">
        <v>52</v>
      </c>
      <c r="O375" s="2">
        <f t="shared" si="10"/>
        <v>75000</v>
      </c>
      <c r="P375" s="2">
        <f t="shared" si="11"/>
        <v>900000</v>
      </c>
      <c r="Q375" s="13" t="s">
        <v>2597</v>
      </c>
      <c r="R375" s="9" t="s">
        <v>2421</v>
      </c>
      <c r="S375" s="3">
        <v>31013</v>
      </c>
    </row>
    <row r="376" spans="1:19">
      <c r="A376" t="s">
        <v>2734</v>
      </c>
      <c r="B376" t="s">
        <v>1917</v>
      </c>
      <c r="C376" t="s">
        <v>2735</v>
      </c>
      <c r="D376" t="s">
        <v>22</v>
      </c>
      <c r="E376" t="s">
        <v>2736</v>
      </c>
      <c r="F376" t="s">
        <v>2737</v>
      </c>
      <c r="G376" t="s">
        <v>2738</v>
      </c>
      <c r="H376" t="s">
        <v>2570</v>
      </c>
      <c r="I376" t="s">
        <v>2604</v>
      </c>
      <c r="J376" s="2">
        <v>118000</v>
      </c>
      <c r="K376" s="3">
        <v>45982</v>
      </c>
      <c r="L376" t="s">
        <v>218</v>
      </c>
      <c r="M376" t="s">
        <v>2739</v>
      </c>
      <c r="N376" t="s">
        <v>52</v>
      </c>
      <c r="O376" s="2">
        <f t="shared" si="10"/>
        <v>118000</v>
      </c>
      <c r="P376" s="2">
        <f t="shared" si="11"/>
        <v>1416000</v>
      </c>
      <c r="Q376" s="13" t="s">
        <v>137</v>
      </c>
      <c r="R376" s="9" t="s">
        <v>427</v>
      </c>
      <c r="S376" s="3">
        <v>33338</v>
      </c>
    </row>
    <row r="377" spans="1:19" ht="27.6">
      <c r="A377" t="s">
        <v>2740</v>
      </c>
      <c r="B377" t="s">
        <v>404</v>
      </c>
      <c r="C377" t="s">
        <v>1792</v>
      </c>
      <c r="D377" t="s">
        <v>22</v>
      </c>
      <c r="E377" t="s">
        <v>2741</v>
      </c>
      <c r="F377" t="s">
        <v>2742</v>
      </c>
      <c r="G377" t="s">
        <v>2743</v>
      </c>
      <c r="H377" t="s">
        <v>2744</v>
      </c>
      <c r="I377" t="s">
        <v>2745</v>
      </c>
      <c r="J377" s="2">
        <v>87000</v>
      </c>
      <c r="K377" s="3">
        <v>45991</v>
      </c>
      <c r="L377" t="s">
        <v>28</v>
      </c>
      <c r="M377" t="s">
        <v>2746</v>
      </c>
      <c r="N377" t="s">
        <v>30</v>
      </c>
      <c r="O377" s="2">
        <f t="shared" si="10"/>
        <v>87000</v>
      </c>
      <c r="P377" s="2">
        <f t="shared" si="11"/>
        <v>1044000</v>
      </c>
      <c r="Q377" s="13" t="s">
        <v>31</v>
      </c>
      <c r="R377" s="9" t="s">
        <v>2747</v>
      </c>
      <c r="S377" s="3">
        <v>36059</v>
      </c>
    </row>
    <row r="378" spans="1:19" ht="27.6">
      <c r="A378" t="s">
        <v>2748</v>
      </c>
      <c r="B378" t="s">
        <v>2749</v>
      </c>
      <c r="C378" t="s">
        <v>2750</v>
      </c>
      <c r="D378" t="s">
        <v>22</v>
      </c>
      <c r="E378" t="s">
        <v>2751</v>
      </c>
      <c r="F378" t="s">
        <v>2752</v>
      </c>
      <c r="G378" t="s">
        <v>2753</v>
      </c>
      <c r="H378" t="s">
        <v>2744</v>
      </c>
      <c r="I378" t="s">
        <v>2754</v>
      </c>
      <c r="J378" s="2">
        <v>83000</v>
      </c>
      <c r="K378" s="3">
        <v>46000</v>
      </c>
      <c r="L378" t="s">
        <v>28</v>
      </c>
      <c r="M378" t="s">
        <v>2755</v>
      </c>
      <c r="N378" t="s">
        <v>98</v>
      </c>
      <c r="O378" s="2">
        <f t="shared" si="10"/>
        <v>83000</v>
      </c>
      <c r="P378" s="2">
        <f t="shared" si="11"/>
        <v>996000</v>
      </c>
      <c r="Q378" s="13" t="s">
        <v>972</v>
      </c>
      <c r="R378" s="9" t="s">
        <v>2756</v>
      </c>
      <c r="S378" s="3">
        <v>27794</v>
      </c>
    </row>
    <row r="379" spans="1:19">
      <c r="A379" t="s">
        <v>2757</v>
      </c>
      <c r="B379" t="s">
        <v>2758</v>
      </c>
      <c r="C379" t="s">
        <v>2759</v>
      </c>
      <c r="D379" t="s">
        <v>22</v>
      </c>
      <c r="E379" t="s">
        <v>2760</v>
      </c>
      <c r="F379" t="s">
        <v>2761</v>
      </c>
      <c r="G379" t="s">
        <v>2762</v>
      </c>
      <c r="H379" t="s">
        <v>2744</v>
      </c>
      <c r="I379" t="s">
        <v>2763</v>
      </c>
      <c r="J379" s="2">
        <v>66000</v>
      </c>
      <c r="K379" s="3">
        <v>46009</v>
      </c>
      <c r="L379" t="s">
        <v>28</v>
      </c>
      <c r="M379" t="s">
        <v>2764</v>
      </c>
      <c r="N379" t="s">
        <v>82</v>
      </c>
      <c r="O379" s="2">
        <f t="shared" si="10"/>
        <v>66000</v>
      </c>
      <c r="P379" s="2">
        <f t="shared" si="11"/>
        <v>792000</v>
      </c>
      <c r="Q379" s="13" t="s">
        <v>53</v>
      </c>
      <c r="R379" s="9" t="s">
        <v>54</v>
      </c>
      <c r="S379" s="3">
        <v>30512</v>
      </c>
    </row>
    <row r="380" spans="1:19">
      <c r="A380" t="s">
        <v>2765</v>
      </c>
      <c r="B380" t="s">
        <v>1194</v>
      </c>
      <c r="C380" t="s">
        <v>2766</v>
      </c>
      <c r="D380" t="s">
        <v>22</v>
      </c>
      <c r="E380" t="s">
        <v>2767</v>
      </c>
      <c r="F380" t="s">
        <v>2768</v>
      </c>
      <c r="G380" t="s">
        <v>2769</v>
      </c>
      <c r="H380" t="s">
        <v>2744</v>
      </c>
      <c r="I380" t="s">
        <v>2770</v>
      </c>
      <c r="J380" s="2">
        <v>92000</v>
      </c>
      <c r="K380" s="3">
        <v>46018</v>
      </c>
      <c r="L380" t="s">
        <v>28</v>
      </c>
      <c r="M380" t="s">
        <v>2771</v>
      </c>
      <c r="N380" t="s">
        <v>41</v>
      </c>
      <c r="O380" s="2">
        <f t="shared" si="10"/>
        <v>92000</v>
      </c>
      <c r="P380" s="2">
        <f t="shared" si="11"/>
        <v>1104000</v>
      </c>
      <c r="Q380" s="13" t="s">
        <v>2597</v>
      </c>
      <c r="R380" s="9" t="s">
        <v>2772</v>
      </c>
      <c r="S380" s="3">
        <v>33233</v>
      </c>
    </row>
    <row r="381" spans="1:19" ht="27.6">
      <c r="A381" t="s">
        <v>2773</v>
      </c>
      <c r="B381" t="s">
        <v>2774</v>
      </c>
      <c r="C381" t="s">
        <v>2775</v>
      </c>
      <c r="D381" t="s">
        <v>22</v>
      </c>
      <c r="E381" t="s">
        <v>2776</v>
      </c>
      <c r="F381" t="s">
        <v>2777</v>
      </c>
      <c r="G381" t="s">
        <v>2778</v>
      </c>
      <c r="H381" t="s">
        <v>2744</v>
      </c>
      <c r="I381" t="s">
        <v>2779</v>
      </c>
      <c r="J381" s="2">
        <v>37000</v>
      </c>
      <c r="K381" s="3">
        <v>46027</v>
      </c>
      <c r="L381" t="s">
        <v>28</v>
      </c>
      <c r="M381" t="s">
        <v>2780</v>
      </c>
      <c r="N381" t="s">
        <v>98</v>
      </c>
      <c r="O381" s="2">
        <f t="shared" si="10"/>
        <v>37000</v>
      </c>
      <c r="P381" s="2">
        <f t="shared" si="11"/>
        <v>444000</v>
      </c>
      <c r="Q381" s="13" t="s">
        <v>74</v>
      </c>
      <c r="R381" s="9" t="s">
        <v>2747</v>
      </c>
      <c r="S381" s="3">
        <v>35559</v>
      </c>
    </row>
    <row r="382" spans="1:19" ht="27.6">
      <c r="A382" t="s">
        <v>2781</v>
      </c>
      <c r="B382" t="s">
        <v>2782</v>
      </c>
      <c r="C382" t="s">
        <v>2783</v>
      </c>
      <c r="D382" t="s">
        <v>22</v>
      </c>
      <c r="E382" t="s">
        <v>2784</v>
      </c>
      <c r="F382" t="s">
        <v>2785</v>
      </c>
      <c r="G382" t="s">
        <v>2786</v>
      </c>
      <c r="H382" t="s">
        <v>2744</v>
      </c>
      <c r="I382" t="s">
        <v>2745</v>
      </c>
      <c r="J382" s="2">
        <v>42000</v>
      </c>
      <c r="K382" s="3">
        <v>46036</v>
      </c>
      <c r="L382" t="s">
        <v>28</v>
      </c>
      <c r="M382" t="s">
        <v>2787</v>
      </c>
      <c r="N382" t="s">
        <v>30</v>
      </c>
      <c r="O382" s="2">
        <f t="shared" si="10"/>
        <v>42000</v>
      </c>
      <c r="P382" s="2">
        <f t="shared" si="11"/>
        <v>504000</v>
      </c>
      <c r="Q382" s="13" t="s">
        <v>972</v>
      </c>
      <c r="R382" s="9" t="s">
        <v>2756</v>
      </c>
      <c r="S382" s="3">
        <v>38280</v>
      </c>
    </row>
    <row r="383" spans="1:19">
      <c r="A383" t="s">
        <v>2788</v>
      </c>
      <c r="B383" t="s">
        <v>2789</v>
      </c>
      <c r="C383" t="s">
        <v>2790</v>
      </c>
      <c r="D383" t="s">
        <v>22</v>
      </c>
      <c r="E383" t="s">
        <v>2791</v>
      </c>
      <c r="F383" t="s">
        <v>2792</v>
      </c>
      <c r="G383" t="s">
        <v>2793</v>
      </c>
      <c r="H383" t="s">
        <v>2744</v>
      </c>
      <c r="I383" t="s">
        <v>2754</v>
      </c>
      <c r="J383" s="2">
        <v>72000</v>
      </c>
      <c r="K383" s="3">
        <v>46045</v>
      </c>
      <c r="L383" t="s">
        <v>28</v>
      </c>
      <c r="M383" t="s">
        <v>2794</v>
      </c>
      <c r="N383" t="s">
        <v>73</v>
      </c>
      <c r="O383" s="2">
        <f t="shared" si="10"/>
        <v>72000</v>
      </c>
      <c r="P383" s="2">
        <f t="shared" si="11"/>
        <v>864000</v>
      </c>
      <c r="Q383" s="13" t="s">
        <v>90</v>
      </c>
      <c r="R383" s="9" t="s">
        <v>54</v>
      </c>
      <c r="S383" s="3">
        <v>30013</v>
      </c>
    </row>
    <row r="384" spans="1:19">
      <c r="A384" t="s">
        <v>2795</v>
      </c>
      <c r="B384" t="s">
        <v>2796</v>
      </c>
      <c r="C384" t="s">
        <v>2797</v>
      </c>
      <c r="D384" t="s">
        <v>22</v>
      </c>
      <c r="E384" t="s">
        <v>2798</v>
      </c>
      <c r="F384" t="s">
        <v>2799</v>
      </c>
      <c r="G384" t="s">
        <v>2800</v>
      </c>
      <c r="H384" t="s">
        <v>2744</v>
      </c>
      <c r="I384" t="s">
        <v>2763</v>
      </c>
      <c r="J384" s="2">
        <v>40000</v>
      </c>
      <c r="K384" s="3">
        <v>46054</v>
      </c>
      <c r="L384" t="s">
        <v>28</v>
      </c>
      <c r="M384" t="s">
        <v>2801</v>
      </c>
      <c r="N384" t="s">
        <v>204</v>
      </c>
      <c r="O384" s="2">
        <f t="shared" si="10"/>
        <v>40000</v>
      </c>
      <c r="P384" s="2">
        <f t="shared" si="11"/>
        <v>480000</v>
      </c>
      <c r="Q384" s="13" t="s">
        <v>2597</v>
      </c>
      <c r="R384" s="9" t="s">
        <v>2772</v>
      </c>
      <c r="S384" s="3">
        <v>32734</v>
      </c>
    </row>
    <row r="385" spans="1:19">
      <c r="A385" t="s">
        <v>2802</v>
      </c>
      <c r="B385" t="s">
        <v>2803</v>
      </c>
      <c r="C385" t="s">
        <v>2804</v>
      </c>
      <c r="D385" t="s">
        <v>22</v>
      </c>
      <c r="E385" t="s">
        <v>2805</v>
      </c>
      <c r="F385" t="s">
        <v>2806</v>
      </c>
      <c r="G385" t="s">
        <v>2807</v>
      </c>
      <c r="H385" t="s">
        <v>2744</v>
      </c>
      <c r="I385" t="s">
        <v>2770</v>
      </c>
      <c r="J385" s="2">
        <v>60000</v>
      </c>
      <c r="K385" s="3">
        <v>46063</v>
      </c>
      <c r="L385" t="s">
        <v>28</v>
      </c>
      <c r="M385" t="s">
        <v>2808</v>
      </c>
      <c r="N385" t="s">
        <v>73</v>
      </c>
      <c r="O385" s="2">
        <f t="shared" si="10"/>
        <v>60000</v>
      </c>
      <c r="P385" s="2">
        <f t="shared" si="11"/>
        <v>720000</v>
      </c>
      <c r="Q385" s="13" t="s">
        <v>107</v>
      </c>
      <c r="R385" s="9" t="s">
        <v>2747</v>
      </c>
      <c r="S385" s="3">
        <v>35089</v>
      </c>
    </row>
    <row r="386" spans="1:19" ht="27.6">
      <c r="A386" t="s">
        <v>2809</v>
      </c>
      <c r="B386" t="s">
        <v>2810</v>
      </c>
      <c r="C386" t="s">
        <v>819</v>
      </c>
      <c r="D386" t="s">
        <v>22</v>
      </c>
      <c r="E386" t="s">
        <v>2811</v>
      </c>
      <c r="F386" t="s">
        <v>2812</v>
      </c>
      <c r="G386" t="s">
        <v>2813</v>
      </c>
      <c r="H386" t="s">
        <v>2744</v>
      </c>
      <c r="I386" t="s">
        <v>2779</v>
      </c>
      <c r="J386" s="2">
        <v>89000</v>
      </c>
      <c r="K386" s="3">
        <v>46072</v>
      </c>
      <c r="L386" t="s">
        <v>28</v>
      </c>
      <c r="M386" t="s">
        <v>2814</v>
      </c>
      <c r="N386" t="s">
        <v>82</v>
      </c>
      <c r="O386" s="2">
        <f t="shared" ref="O386:O451" si="12">J386</f>
        <v>89000</v>
      </c>
      <c r="P386" s="2">
        <f t="shared" ref="P386:P451" si="13">J386*12</f>
        <v>1068000</v>
      </c>
      <c r="Q386" s="13" t="s">
        <v>972</v>
      </c>
      <c r="R386" s="9" t="s">
        <v>2756</v>
      </c>
      <c r="S386" s="3">
        <v>37780</v>
      </c>
    </row>
    <row r="387" spans="1:19">
      <c r="A387" t="s">
        <v>2815</v>
      </c>
      <c r="B387" t="s">
        <v>2816</v>
      </c>
      <c r="C387" t="s">
        <v>2817</v>
      </c>
      <c r="D387" t="s">
        <v>22</v>
      </c>
      <c r="E387" t="s">
        <v>2818</v>
      </c>
      <c r="F387" t="s">
        <v>2819</v>
      </c>
      <c r="G387" t="s">
        <v>2820</v>
      </c>
      <c r="H387" t="s">
        <v>2744</v>
      </c>
      <c r="I387" t="s">
        <v>2745</v>
      </c>
      <c r="J387" s="2">
        <v>80000</v>
      </c>
      <c r="K387" s="3">
        <v>46081</v>
      </c>
      <c r="L387" t="s">
        <v>28</v>
      </c>
      <c r="M387" t="s">
        <v>2821</v>
      </c>
      <c r="N387" t="s">
        <v>82</v>
      </c>
      <c r="O387" s="2">
        <f t="shared" si="12"/>
        <v>80000</v>
      </c>
      <c r="P387" s="2">
        <f t="shared" si="13"/>
        <v>960000</v>
      </c>
      <c r="Q387" s="13" t="s">
        <v>122</v>
      </c>
      <c r="R387" s="9" t="s">
        <v>54</v>
      </c>
      <c r="S387" s="3">
        <v>29909</v>
      </c>
    </row>
    <row r="388" spans="1:19">
      <c r="A388" t="s">
        <v>2822</v>
      </c>
      <c r="B388" t="s">
        <v>2823</v>
      </c>
      <c r="C388" t="s">
        <v>2619</v>
      </c>
      <c r="D388" t="s">
        <v>22</v>
      </c>
      <c r="E388" t="s">
        <v>2824</v>
      </c>
      <c r="F388" t="s">
        <v>2825</v>
      </c>
      <c r="G388" t="s">
        <v>2826</v>
      </c>
      <c r="H388" t="s">
        <v>2744</v>
      </c>
      <c r="I388" t="s">
        <v>2754</v>
      </c>
      <c r="J388" s="2">
        <v>56000</v>
      </c>
      <c r="K388" s="3">
        <v>44930</v>
      </c>
      <c r="L388" t="s">
        <v>28</v>
      </c>
      <c r="M388" t="s">
        <v>2827</v>
      </c>
      <c r="N388" t="s">
        <v>73</v>
      </c>
      <c r="O388" s="2">
        <f t="shared" si="12"/>
        <v>56000</v>
      </c>
      <c r="P388" s="2">
        <f t="shared" si="13"/>
        <v>672000</v>
      </c>
      <c r="Q388" s="13" t="s">
        <v>2597</v>
      </c>
      <c r="R388" s="9" t="s">
        <v>2772</v>
      </c>
      <c r="S388" s="3">
        <v>32235</v>
      </c>
    </row>
    <row r="389" spans="1:19">
      <c r="A389" t="s">
        <v>2828</v>
      </c>
      <c r="B389" t="s">
        <v>2829</v>
      </c>
      <c r="C389" t="s">
        <v>2830</v>
      </c>
      <c r="D389" t="s">
        <v>22</v>
      </c>
      <c r="E389" t="s">
        <v>2831</v>
      </c>
      <c r="F389" t="s">
        <v>2832</v>
      </c>
      <c r="G389" t="s">
        <v>2833</v>
      </c>
      <c r="H389" t="s">
        <v>2744</v>
      </c>
      <c r="I389" t="s">
        <v>2763</v>
      </c>
      <c r="J389" s="2">
        <v>94000</v>
      </c>
      <c r="K389" s="3">
        <v>44939</v>
      </c>
      <c r="L389" t="s">
        <v>28</v>
      </c>
      <c r="M389" t="s">
        <v>2834</v>
      </c>
      <c r="N389" t="s">
        <v>41</v>
      </c>
      <c r="O389" s="2">
        <f t="shared" si="12"/>
        <v>94000</v>
      </c>
      <c r="P389" s="2">
        <f t="shared" si="13"/>
        <v>1128000</v>
      </c>
      <c r="Q389" s="13" t="s">
        <v>137</v>
      </c>
      <c r="R389" s="9" t="s">
        <v>2747</v>
      </c>
      <c r="S389" s="3">
        <v>34955</v>
      </c>
    </row>
    <row r="390" spans="1:19" ht="27.6">
      <c r="A390" t="s">
        <v>2835</v>
      </c>
      <c r="B390" t="s">
        <v>2836</v>
      </c>
      <c r="C390" t="s">
        <v>2837</v>
      </c>
      <c r="D390" t="s">
        <v>22</v>
      </c>
      <c r="E390" t="s">
        <v>2838</v>
      </c>
      <c r="F390" t="s">
        <v>2839</v>
      </c>
      <c r="G390" t="s">
        <v>2840</v>
      </c>
      <c r="H390" t="s">
        <v>2744</v>
      </c>
      <c r="I390" t="s">
        <v>2770</v>
      </c>
      <c r="J390" s="2">
        <v>42000</v>
      </c>
      <c r="K390" s="3">
        <v>44948</v>
      </c>
      <c r="L390" t="s">
        <v>28</v>
      </c>
      <c r="M390" t="s">
        <v>2841</v>
      </c>
      <c r="N390" t="s">
        <v>52</v>
      </c>
      <c r="O390" s="2">
        <f t="shared" si="12"/>
        <v>42000</v>
      </c>
      <c r="P390" s="2">
        <f t="shared" si="13"/>
        <v>504000</v>
      </c>
      <c r="Q390" s="13" t="s">
        <v>972</v>
      </c>
      <c r="R390" s="9" t="s">
        <v>2756</v>
      </c>
      <c r="S390" s="3">
        <v>37311</v>
      </c>
    </row>
    <row r="391" spans="1:19">
      <c r="A391" t="s">
        <v>2842</v>
      </c>
      <c r="B391" t="s">
        <v>2843</v>
      </c>
      <c r="C391" t="s">
        <v>2844</v>
      </c>
      <c r="D391" t="s">
        <v>22</v>
      </c>
      <c r="E391" t="s">
        <v>2845</v>
      </c>
      <c r="F391" t="s">
        <v>2846</v>
      </c>
      <c r="G391" t="s">
        <v>2847</v>
      </c>
      <c r="H391" t="s">
        <v>2744</v>
      </c>
      <c r="I391" t="s">
        <v>2779</v>
      </c>
      <c r="J391" s="2">
        <v>92000</v>
      </c>
      <c r="K391" s="3">
        <v>44957</v>
      </c>
      <c r="L391" t="s">
        <v>28</v>
      </c>
      <c r="M391" t="s">
        <v>2848</v>
      </c>
      <c r="N391" t="s">
        <v>73</v>
      </c>
      <c r="O391" s="2">
        <f t="shared" si="12"/>
        <v>92000</v>
      </c>
      <c r="P391" s="2">
        <f t="shared" si="13"/>
        <v>1104000</v>
      </c>
      <c r="Q391" s="13" t="s">
        <v>152</v>
      </c>
      <c r="R391" s="9" t="s">
        <v>54</v>
      </c>
      <c r="S391" s="3">
        <v>29409</v>
      </c>
    </row>
    <row r="392" spans="1:19">
      <c r="A392" t="s">
        <v>2849</v>
      </c>
      <c r="B392" t="s">
        <v>1277</v>
      </c>
      <c r="C392" t="s">
        <v>2850</v>
      </c>
      <c r="D392" t="s">
        <v>22</v>
      </c>
      <c r="E392" t="s">
        <v>2851</v>
      </c>
      <c r="F392" t="s">
        <v>2852</v>
      </c>
      <c r="G392" t="s">
        <v>2853</v>
      </c>
      <c r="H392" t="s">
        <v>2744</v>
      </c>
      <c r="I392" t="s">
        <v>2745</v>
      </c>
      <c r="J392" s="2">
        <v>44000</v>
      </c>
      <c r="K392" s="3">
        <v>44966</v>
      </c>
      <c r="L392" t="s">
        <v>28</v>
      </c>
      <c r="M392" t="s">
        <v>2854</v>
      </c>
      <c r="N392" t="s">
        <v>98</v>
      </c>
      <c r="O392" s="2">
        <f t="shared" si="12"/>
        <v>44000</v>
      </c>
      <c r="P392" s="2">
        <f t="shared" si="13"/>
        <v>528000</v>
      </c>
      <c r="Q392" s="13" t="s">
        <v>2597</v>
      </c>
      <c r="R392" s="9" t="s">
        <v>2772</v>
      </c>
      <c r="S392" s="3">
        <v>32129</v>
      </c>
    </row>
    <row r="393" spans="1:19" ht="27.6">
      <c r="A393" t="s">
        <v>2855</v>
      </c>
      <c r="B393" t="s">
        <v>2856</v>
      </c>
      <c r="C393" t="s">
        <v>2857</v>
      </c>
      <c r="D393" t="s">
        <v>22</v>
      </c>
      <c r="E393" t="s">
        <v>2858</v>
      </c>
      <c r="F393" t="s">
        <v>2859</v>
      </c>
      <c r="G393" t="s">
        <v>2860</v>
      </c>
      <c r="H393" t="s">
        <v>2744</v>
      </c>
      <c r="I393" t="s">
        <v>2754</v>
      </c>
      <c r="J393" s="2">
        <v>65000</v>
      </c>
      <c r="K393" s="3">
        <v>44975</v>
      </c>
      <c r="L393" t="s">
        <v>28</v>
      </c>
      <c r="M393" t="s">
        <v>2861</v>
      </c>
      <c r="N393" t="s">
        <v>204</v>
      </c>
      <c r="O393" s="2">
        <f t="shared" si="12"/>
        <v>65000</v>
      </c>
      <c r="P393" s="2">
        <f t="shared" si="13"/>
        <v>780000</v>
      </c>
      <c r="Q393" s="13" t="s">
        <v>167</v>
      </c>
      <c r="R393" s="9" t="s">
        <v>2747</v>
      </c>
      <c r="S393" s="3">
        <v>34455</v>
      </c>
    </row>
    <row r="394" spans="1:19" ht="27.6">
      <c r="A394" t="s">
        <v>2862</v>
      </c>
      <c r="B394" t="s">
        <v>2863</v>
      </c>
      <c r="C394" t="s">
        <v>2864</v>
      </c>
      <c r="D394" t="s">
        <v>22</v>
      </c>
      <c r="E394" t="s">
        <v>2865</v>
      </c>
      <c r="F394" t="s">
        <v>2866</v>
      </c>
      <c r="G394" t="s">
        <v>2867</v>
      </c>
      <c r="H394" t="s">
        <v>2744</v>
      </c>
      <c r="I394" t="s">
        <v>2763</v>
      </c>
      <c r="J394" s="2">
        <v>45000</v>
      </c>
      <c r="K394" s="3">
        <v>44984</v>
      </c>
      <c r="L394" t="s">
        <v>28</v>
      </c>
      <c r="M394" t="s">
        <v>2868</v>
      </c>
      <c r="N394" t="s">
        <v>41</v>
      </c>
      <c r="O394" s="2">
        <f t="shared" si="12"/>
        <v>45000</v>
      </c>
      <c r="P394" s="2">
        <f t="shared" si="13"/>
        <v>540000</v>
      </c>
      <c r="Q394" s="13" t="s">
        <v>972</v>
      </c>
      <c r="R394" s="9" t="s">
        <v>2756</v>
      </c>
      <c r="S394" s="3">
        <v>37176</v>
      </c>
    </row>
    <row r="395" spans="1:19" ht="27.6">
      <c r="A395" t="s">
        <v>2869</v>
      </c>
      <c r="B395" t="s">
        <v>2049</v>
      </c>
      <c r="C395" t="s">
        <v>2870</v>
      </c>
      <c r="D395" t="s">
        <v>22</v>
      </c>
      <c r="E395" t="s">
        <v>2871</v>
      </c>
      <c r="F395" t="s">
        <v>2872</v>
      </c>
      <c r="G395" t="s">
        <v>2873</v>
      </c>
      <c r="H395" t="s">
        <v>2744</v>
      </c>
      <c r="I395" t="s">
        <v>2770</v>
      </c>
      <c r="J395" s="2">
        <v>53000</v>
      </c>
      <c r="K395" s="3">
        <v>44993</v>
      </c>
      <c r="L395" t="s">
        <v>28</v>
      </c>
      <c r="M395" t="s">
        <v>2874</v>
      </c>
      <c r="N395" t="s">
        <v>204</v>
      </c>
      <c r="O395" s="2">
        <f t="shared" si="12"/>
        <v>53000</v>
      </c>
      <c r="P395" s="2">
        <f t="shared" si="13"/>
        <v>636000</v>
      </c>
      <c r="Q395" s="13" t="s">
        <v>182</v>
      </c>
      <c r="R395" s="9" t="s">
        <v>54</v>
      </c>
      <c r="S395" s="3">
        <v>28937</v>
      </c>
    </row>
    <row r="396" spans="1:19">
      <c r="A396" t="s">
        <v>2875</v>
      </c>
      <c r="B396" t="s">
        <v>2876</v>
      </c>
      <c r="C396" t="s">
        <v>2877</v>
      </c>
      <c r="D396" t="s">
        <v>22</v>
      </c>
      <c r="E396" t="s">
        <v>2878</v>
      </c>
      <c r="F396" t="s">
        <v>2879</v>
      </c>
      <c r="G396" t="s">
        <v>2880</v>
      </c>
      <c r="H396" t="s">
        <v>2744</v>
      </c>
      <c r="I396" t="s">
        <v>2779</v>
      </c>
      <c r="J396" s="2">
        <v>70000</v>
      </c>
      <c r="K396" s="3">
        <v>45002</v>
      </c>
      <c r="L396" t="s">
        <v>28</v>
      </c>
      <c r="M396" t="s">
        <v>2881</v>
      </c>
      <c r="N396" t="s">
        <v>106</v>
      </c>
      <c r="O396" s="2">
        <f t="shared" si="12"/>
        <v>70000</v>
      </c>
      <c r="P396" s="2">
        <f t="shared" si="13"/>
        <v>840000</v>
      </c>
      <c r="Q396" s="13" t="s">
        <v>2597</v>
      </c>
      <c r="R396" s="9" t="s">
        <v>2772</v>
      </c>
      <c r="S396" s="3">
        <v>31630</v>
      </c>
    </row>
    <row r="397" spans="1:19" ht="27.6">
      <c r="A397" t="s">
        <v>2882</v>
      </c>
      <c r="B397" t="s">
        <v>265</v>
      </c>
      <c r="C397" t="s">
        <v>2883</v>
      </c>
      <c r="D397" t="s">
        <v>22</v>
      </c>
      <c r="E397" t="s">
        <v>2884</v>
      </c>
      <c r="F397" t="s">
        <v>2885</v>
      </c>
      <c r="G397" t="s">
        <v>2886</v>
      </c>
      <c r="H397" t="s">
        <v>2744</v>
      </c>
      <c r="I397" t="s">
        <v>2745</v>
      </c>
      <c r="J397" s="2">
        <v>74000</v>
      </c>
      <c r="K397" s="3">
        <v>45011</v>
      </c>
      <c r="L397" t="s">
        <v>28</v>
      </c>
      <c r="M397" t="s">
        <v>2887</v>
      </c>
      <c r="N397" t="s">
        <v>52</v>
      </c>
      <c r="O397" s="2">
        <f t="shared" si="12"/>
        <v>74000</v>
      </c>
      <c r="P397" s="2">
        <f t="shared" si="13"/>
        <v>888000</v>
      </c>
      <c r="Q397" s="13" t="s">
        <v>31</v>
      </c>
      <c r="R397" s="9" t="s">
        <v>2747</v>
      </c>
      <c r="S397" s="3">
        <v>33986</v>
      </c>
    </row>
    <row r="398" spans="1:19" ht="27.6">
      <c r="A398" t="s">
        <v>2888</v>
      </c>
      <c r="B398" t="s">
        <v>2889</v>
      </c>
      <c r="C398" t="s">
        <v>902</v>
      </c>
      <c r="D398" t="s">
        <v>22</v>
      </c>
      <c r="E398" t="s">
        <v>2890</v>
      </c>
      <c r="F398" t="s">
        <v>2891</v>
      </c>
      <c r="G398" t="s">
        <v>2892</v>
      </c>
      <c r="H398" t="s">
        <v>2744</v>
      </c>
      <c r="I398" t="s">
        <v>2754</v>
      </c>
      <c r="J398" s="2">
        <v>86000</v>
      </c>
      <c r="K398" s="3">
        <v>45020</v>
      </c>
      <c r="L398" t="s">
        <v>28</v>
      </c>
      <c r="M398" t="s">
        <v>2893</v>
      </c>
      <c r="N398" t="s">
        <v>204</v>
      </c>
      <c r="O398" s="2">
        <f t="shared" si="12"/>
        <v>86000</v>
      </c>
      <c r="P398" s="2">
        <f t="shared" si="13"/>
        <v>1032000</v>
      </c>
      <c r="Q398" s="13" t="s">
        <v>972</v>
      </c>
      <c r="R398" s="9" t="s">
        <v>2756</v>
      </c>
      <c r="S398" s="3">
        <v>36705</v>
      </c>
    </row>
    <row r="399" spans="1:19">
      <c r="A399" t="s">
        <v>2894</v>
      </c>
      <c r="B399" t="s">
        <v>2895</v>
      </c>
      <c r="C399" t="s">
        <v>2896</v>
      </c>
      <c r="D399" t="s">
        <v>22</v>
      </c>
      <c r="E399" t="s">
        <v>2897</v>
      </c>
      <c r="F399" t="s">
        <v>2898</v>
      </c>
      <c r="G399" t="s">
        <v>2899</v>
      </c>
      <c r="H399" t="s">
        <v>2744</v>
      </c>
      <c r="I399" t="s">
        <v>2763</v>
      </c>
      <c r="J399" s="2">
        <v>42000</v>
      </c>
      <c r="K399" s="3">
        <v>45029</v>
      </c>
      <c r="L399" t="s">
        <v>218</v>
      </c>
      <c r="M399" t="s">
        <v>2900</v>
      </c>
      <c r="N399" t="s">
        <v>204</v>
      </c>
      <c r="O399" s="2">
        <f t="shared" si="12"/>
        <v>42000</v>
      </c>
      <c r="P399" s="2">
        <f t="shared" si="13"/>
        <v>504000</v>
      </c>
      <c r="Q399" s="13" t="s">
        <v>53</v>
      </c>
      <c r="R399" s="9" t="s">
        <v>54</v>
      </c>
      <c r="S399" s="3">
        <v>28805</v>
      </c>
    </row>
    <row r="400" spans="1:19">
      <c r="A400" t="s">
        <v>2901</v>
      </c>
      <c r="B400" t="s">
        <v>2902</v>
      </c>
      <c r="C400" t="s">
        <v>2700</v>
      </c>
      <c r="D400" t="s">
        <v>22</v>
      </c>
      <c r="E400" t="s">
        <v>2903</v>
      </c>
      <c r="F400" t="s">
        <v>2904</v>
      </c>
      <c r="G400" t="s">
        <v>2905</v>
      </c>
      <c r="H400" t="s">
        <v>2744</v>
      </c>
      <c r="I400" t="s">
        <v>2770</v>
      </c>
      <c r="J400" s="2">
        <v>78000</v>
      </c>
      <c r="K400" s="3">
        <v>45038</v>
      </c>
      <c r="L400" t="s">
        <v>28</v>
      </c>
      <c r="M400" t="s">
        <v>2906</v>
      </c>
      <c r="N400" t="s">
        <v>106</v>
      </c>
      <c r="O400" s="2">
        <f t="shared" si="12"/>
        <v>78000</v>
      </c>
      <c r="P400" s="2">
        <f t="shared" si="13"/>
        <v>936000</v>
      </c>
      <c r="Q400" s="13" t="s">
        <v>2597</v>
      </c>
      <c r="R400" s="9" t="s">
        <v>2772</v>
      </c>
      <c r="S400" s="3">
        <v>31159</v>
      </c>
    </row>
    <row r="401" spans="1:19" ht="27.6">
      <c r="A401" t="s">
        <v>2907</v>
      </c>
      <c r="B401" t="s">
        <v>2908</v>
      </c>
      <c r="C401" t="s">
        <v>2909</v>
      </c>
      <c r="D401" t="s">
        <v>22</v>
      </c>
      <c r="E401" t="s">
        <v>2910</v>
      </c>
      <c r="F401" t="s">
        <v>2911</v>
      </c>
      <c r="G401" t="s">
        <v>2912</v>
      </c>
      <c r="H401" t="s">
        <v>2744</v>
      </c>
      <c r="I401" t="s">
        <v>2779</v>
      </c>
      <c r="J401" s="2">
        <v>53000</v>
      </c>
      <c r="K401" s="3">
        <v>45047</v>
      </c>
      <c r="L401" t="s">
        <v>218</v>
      </c>
      <c r="M401" t="s">
        <v>2913</v>
      </c>
      <c r="N401" t="s">
        <v>52</v>
      </c>
      <c r="O401" s="2">
        <f t="shared" si="12"/>
        <v>53000</v>
      </c>
      <c r="P401" s="2">
        <f t="shared" si="13"/>
        <v>636000</v>
      </c>
      <c r="Q401" s="13" t="s">
        <v>74</v>
      </c>
      <c r="R401" s="9" t="s">
        <v>2747</v>
      </c>
      <c r="S401" s="3">
        <v>33852</v>
      </c>
    </row>
    <row r="402" spans="1:19">
      <c r="A402" t="s">
        <v>2914</v>
      </c>
      <c r="B402" t="s">
        <v>2915</v>
      </c>
      <c r="C402" t="s">
        <v>2916</v>
      </c>
      <c r="D402" t="s">
        <v>22</v>
      </c>
      <c r="E402" t="s">
        <v>2917</v>
      </c>
      <c r="F402" t="s">
        <v>2918</v>
      </c>
      <c r="G402" t="s">
        <v>2919</v>
      </c>
      <c r="H402" t="s">
        <v>2920</v>
      </c>
      <c r="I402" t="s">
        <v>2921</v>
      </c>
      <c r="J402" s="2">
        <v>64000</v>
      </c>
      <c r="K402" s="3">
        <v>45056</v>
      </c>
      <c r="L402" t="s">
        <v>28</v>
      </c>
      <c r="M402" t="s">
        <v>2922</v>
      </c>
      <c r="N402" t="s">
        <v>98</v>
      </c>
      <c r="O402" s="2">
        <f t="shared" si="12"/>
        <v>64000</v>
      </c>
      <c r="P402" s="2">
        <f t="shared" si="13"/>
        <v>768000</v>
      </c>
      <c r="Q402" s="13" t="s">
        <v>152</v>
      </c>
      <c r="R402" s="9" t="s">
        <v>54</v>
      </c>
      <c r="S402" s="3">
        <v>36207</v>
      </c>
    </row>
    <row r="403" spans="1:19">
      <c r="A403" t="s">
        <v>2923</v>
      </c>
      <c r="B403" t="s">
        <v>2924</v>
      </c>
      <c r="C403" t="s">
        <v>2925</v>
      </c>
      <c r="D403" t="s">
        <v>22</v>
      </c>
      <c r="E403" t="s">
        <v>2926</v>
      </c>
      <c r="F403" t="s">
        <v>2927</v>
      </c>
      <c r="G403" t="s">
        <v>2928</v>
      </c>
      <c r="H403" t="s">
        <v>2920</v>
      </c>
      <c r="I403" t="s">
        <v>2929</v>
      </c>
      <c r="J403" s="2">
        <v>58000</v>
      </c>
      <c r="K403" s="3">
        <v>45065</v>
      </c>
      <c r="L403" t="s">
        <v>28</v>
      </c>
      <c r="M403" t="s">
        <v>2930</v>
      </c>
      <c r="N403" t="s">
        <v>106</v>
      </c>
      <c r="O403" s="2">
        <f t="shared" si="12"/>
        <v>58000</v>
      </c>
      <c r="P403" s="2">
        <f t="shared" si="13"/>
        <v>696000</v>
      </c>
      <c r="Q403" s="13" t="s">
        <v>1707</v>
      </c>
      <c r="R403" s="9" t="s">
        <v>43</v>
      </c>
      <c r="S403" s="3">
        <v>28333</v>
      </c>
    </row>
    <row r="404" spans="1:19" ht="27.6">
      <c r="A404" t="s">
        <v>2931</v>
      </c>
      <c r="B404" t="s">
        <v>2932</v>
      </c>
      <c r="C404" t="s">
        <v>2933</v>
      </c>
      <c r="D404" t="s">
        <v>22</v>
      </c>
      <c r="E404" t="s">
        <v>2934</v>
      </c>
      <c r="F404" t="s">
        <v>2935</v>
      </c>
      <c r="G404" t="s">
        <v>2936</v>
      </c>
      <c r="H404" t="s">
        <v>2920</v>
      </c>
      <c r="I404" t="s">
        <v>2937</v>
      </c>
      <c r="J404" s="2">
        <v>57000</v>
      </c>
      <c r="K404" s="3">
        <v>45074</v>
      </c>
      <c r="L404" t="s">
        <v>28</v>
      </c>
      <c r="M404" t="s">
        <v>2938</v>
      </c>
      <c r="N404" t="s">
        <v>30</v>
      </c>
      <c r="O404" s="2">
        <f t="shared" si="12"/>
        <v>57000</v>
      </c>
      <c r="P404" s="2">
        <f t="shared" si="13"/>
        <v>684000</v>
      </c>
      <c r="Q404" s="13" t="s">
        <v>31</v>
      </c>
      <c r="R404" s="9" t="s">
        <v>1511</v>
      </c>
      <c r="S404" s="3">
        <v>31026</v>
      </c>
    </row>
    <row r="405" spans="1:19" ht="27.6">
      <c r="A405" t="s">
        <v>2939</v>
      </c>
      <c r="B405" t="s">
        <v>2940</v>
      </c>
      <c r="C405" t="s">
        <v>2941</v>
      </c>
      <c r="D405" t="s">
        <v>22</v>
      </c>
      <c r="E405" t="s">
        <v>2942</v>
      </c>
      <c r="F405" t="s">
        <v>2943</v>
      </c>
      <c r="G405" t="s">
        <v>2944</v>
      </c>
      <c r="H405" t="s">
        <v>2920</v>
      </c>
      <c r="I405" t="s">
        <v>2945</v>
      </c>
      <c r="J405" s="2">
        <v>50000</v>
      </c>
      <c r="K405" s="3">
        <v>45083</v>
      </c>
      <c r="L405" t="s">
        <v>28</v>
      </c>
      <c r="M405" t="s">
        <v>2946</v>
      </c>
      <c r="N405" t="s">
        <v>73</v>
      </c>
      <c r="O405" s="2">
        <f t="shared" si="12"/>
        <v>50000</v>
      </c>
      <c r="P405" s="2">
        <f t="shared" si="13"/>
        <v>600000</v>
      </c>
      <c r="Q405" s="13" t="s">
        <v>2947</v>
      </c>
      <c r="R405" s="9" t="s">
        <v>2948</v>
      </c>
      <c r="S405" s="3">
        <v>33379</v>
      </c>
    </row>
    <row r="406" spans="1:19" ht="27.6">
      <c r="A406" t="s">
        <v>2949</v>
      </c>
      <c r="B406" t="s">
        <v>2950</v>
      </c>
      <c r="C406" t="s">
        <v>191</v>
      </c>
      <c r="D406" t="s">
        <v>22</v>
      </c>
      <c r="E406" t="s">
        <v>2951</v>
      </c>
      <c r="F406" t="s">
        <v>2952</v>
      </c>
      <c r="G406" t="s">
        <v>2953</v>
      </c>
      <c r="H406" t="s">
        <v>2920</v>
      </c>
      <c r="I406" t="s">
        <v>2954</v>
      </c>
      <c r="J406" s="2">
        <v>72000</v>
      </c>
      <c r="K406" s="3">
        <v>45092</v>
      </c>
      <c r="L406" t="s">
        <v>28</v>
      </c>
      <c r="M406" t="s">
        <v>2955</v>
      </c>
      <c r="N406" t="s">
        <v>52</v>
      </c>
      <c r="O406" s="2">
        <f t="shared" si="12"/>
        <v>72000</v>
      </c>
      <c r="P406" s="2">
        <f t="shared" si="13"/>
        <v>864000</v>
      </c>
      <c r="Q406" s="13" t="s">
        <v>182</v>
      </c>
      <c r="R406" s="9" t="s">
        <v>54</v>
      </c>
      <c r="S406" s="3">
        <v>36072</v>
      </c>
    </row>
    <row r="407" spans="1:19">
      <c r="A407" t="s">
        <v>2956</v>
      </c>
      <c r="B407" t="s">
        <v>2957</v>
      </c>
      <c r="C407" t="s">
        <v>2749</v>
      </c>
      <c r="D407" t="s">
        <v>22</v>
      </c>
      <c r="E407" t="s">
        <v>2958</v>
      </c>
      <c r="F407" t="s">
        <v>2959</v>
      </c>
      <c r="G407" t="s">
        <v>2960</v>
      </c>
      <c r="H407" t="s">
        <v>2920</v>
      </c>
      <c r="I407" t="s">
        <v>2921</v>
      </c>
      <c r="J407" s="2">
        <v>41000</v>
      </c>
      <c r="K407" s="3">
        <v>45101</v>
      </c>
      <c r="L407" t="s">
        <v>28</v>
      </c>
      <c r="M407" t="s">
        <v>2961</v>
      </c>
      <c r="N407" t="s">
        <v>30</v>
      </c>
      <c r="O407" s="2">
        <f t="shared" si="12"/>
        <v>41000</v>
      </c>
      <c r="P407" s="2">
        <f t="shared" si="13"/>
        <v>492000</v>
      </c>
      <c r="Q407" s="13" t="s">
        <v>1707</v>
      </c>
      <c r="R407" s="9" t="s">
        <v>43</v>
      </c>
      <c r="S407" s="3">
        <v>27834</v>
      </c>
    </row>
    <row r="408" spans="1:19" ht="27.6">
      <c r="A408" t="s">
        <v>2962</v>
      </c>
      <c r="B408" t="s">
        <v>2963</v>
      </c>
      <c r="C408" t="s">
        <v>2012</v>
      </c>
      <c r="D408" t="s">
        <v>22</v>
      </c>
      <c r="E408" t="s">
        <v>2964</v>
      </c>
      <c r="F408" t="s">
        <v>2965</v>
      </c>
      <c r="G408" t="s">
        <v>2966</v>
      </c>
      <c r="H408" t="s">
        <v>2920</v>
      </c>
      <c r="I408" t="s">
        <v>2929</v>
      </c>
      <c r="J408" s="2">
        <v>77000</v>
      </c>
      <c r="K408" s="3">
        <v>45110</v>
      </c>
      <c r="L408" t="s">
        <v>28</v>
      </c>
      <c r="M408" t="s">
        <v>2967</v>
      </c>
      <c r="N408" t="s">
        <v>82</v>
      </c>
      <c r="O408" s="2">
        <f t="shared" si="12"/>
        <v>77000</v>
      </c>
      <c r="P408" s="2">
        <f t="shared" si="13"/>
        <v>924000</v>
      </c>
      <c r="Q408" s="13" t="s">
        <v>74</v>
      </c>
      <c r="R408" s="9" t="s">
        <v>1511</v>
      </c>
      <c r="S408" s="3">
        <v>30554</v>
      </c>
    </row>
    <row r="409" spans="1:19" ht="27.6">
      <c r="A409" t="s">
        <v>2968</v>
      </c>
      <c r="B409" t="s">
        <v>2969</v>
      </c>
      <c r="C409" t="s">
        <v>2970</v>
      </c>
      <c r="D409" t="s">
        <v>22</v>
      </c>
      <c r="E409" t="s">
        <v>2971</v>
      </c>
      <c r="F409" t="s">
        <v>2972</v>
      </c>
      <c r="G409" t="s">
        <v>2973</v>
      </c>
      <c r="H409" t="s">
        <v>2920</v>
      </c>
      <c r="I409" t="s">
        <v>2937</v>
      </c>
      <c r="J409" s="2">
        <v>86000</v>
      </c>
      <c r="K409" s="3">
        <v>45119</v>
      </c>
      <c r="L409" t="s">
        <v>28</v>
      </c>
      <c r="M409" t="s">
        <v>2974</v>
      </c>
      <c r="N409" t="s">
        <v>52</v>
      </c>
      <c r="O409" s="2">
        <f t="shared" si="12"/>
        <v>86000</v>
      </c>
      <c r="P409" s="2">
        <f t="shared" si="13"/>
        <v>1032000</v>
      </c>
      <c r="Q409" s="13" t="s">
        <v>2947</v>
      </c>
      <c r="R409" s="9" t="s">
        <v>2948</v>
      </c>
      <c r="S409" s="3">
        <v>32882</v>
      </c>
    </row>
    <row r="410" spans="1:19">
      <c r="A410" t="s">
        <v>2975</v>
      </c>
      <c r="B410" t="s">
        <v>2976</v>
      </c>
      <c r="C410" t="s">
        <v>2977</v>
      </c>
      <c r="D410" t="s">
        <v>22</v>
      </c>
      <c r="E410" t="s">
        <v>2978</v>
      </c>
      <c r="F410" t="s">
        <v>2979</v>
      </c>
      <c r="G410" t="s">
        <v>2980</v>
      </c>
      <c r="H410" t="s">
        <v>2920</v>
      </c>
      <c r="I410" t="s">
        <v>2945</v>
      </c>
      <c r="J410" s="2">
        <v>41000</v>
      </c>
      <c r="K410" s="3">
        <v>45128</v>
      </c>
      <c r="L410" t="s">
        <v>28</v>
      </c>
      <c r="M410" t="s">
        <v>2981</v>
      </c>
      <c r="N410" t="s">
        <v>52</v>
      </c>
      <c r="O410" s="2">
        <f t="shared" si="12"/>
        <v>41000</v>
      </c>
      <c r="P410" s="2">
        <f t="shared" si="13"/>
        <v>492000</v>
      </c>
      <c r="Q410" s="13" t="s">
        <v>53</v>
      </c>
      <c r="R410" s="9" t="s">
        <v>54</v>
      </c>
      <c r="S410" s="3">
        <v>35601</v>
      </c>
    </row>
    <row r="411" spans="1:19">
      <c r="A411" t="s">
        <v>2982</v>
      </c>
      <c r="B411" t="s">
        <v>1414</v>
      </c>
      <c r="C411" t="s">
        <v>2983</v>
      </c>
      <c r="D411" t="s">
        <v>22</v>
      </c>
      <c r="E411" t="s">
        <v>2984</v>
      </c>
      <c r="F411" t="s">
        <v>2985</v>
      </c>
      <c r="G411" t="s">
        <v>2986</v>
      </c>
      <c r="H411" t="s">
        <v>2920</v>
      </c>
      <c r="I411" t="s">
        <v>2954</v>
      </c>
      <c r="J411" s="2">
        <v>75000</v>
      </c>
      <c r="K411" s="3">
        <v>45137</v>
      </c>
      <c r="L411" t="s">
        <v>28</v>
      </c>
      <c r="M411" t="s">
        <v>2987</v>
      </c>
      <c r="N411" t="s">
        <v>204</v>
      </c>
      <c r="O411" s="2">
        <f t="shared" si="12"/>
        <v>75000</v>
      </c>
      <c r="P411" s="2">
        <f t="shared" si="13"/>
        <v>900000</v>
      </c>
      <c r="Q411" s="13" t="s">
        <v>1707</v>
      </c>
      <c r="R411" s="9" t="s">
        <v>43</v>
      </c>
      <c r="S411" s="3">
        <v>38294</v>
      </c>
    </row>
    <row r="412" spans="1:19">
      <c r="A412" t="s">
        <v>2988</v>
      </c>
      <c r="B412" t="s">
        <v>2989</v>
      </c>
      <c r="C412" t="s">
        <v>2990</v>
      </c>
      <c r="D412" t="s">
        <v>22</v>
      </c>
      <c r="E412" t="s">
        <v>2991</v>
      </c>
      <c r="F412" t="s">
        <v>2992</v>
      </c>
      <c r="G412" t="s">
        <v>2993</v>
      </c>
      <c r="H412" t="s">
        <v>2920</v>
      </c>
      <c r="I412" t="s">
        <v>2921</v>
      </c>
      <c r="J412" s="2">
        <v>74000</v>
      </c>
      <c r="K412" s="3">
        <v>45146</v>
      </c>
      <c r="L412" t="s">
        <v>28</v>
      </c>
      <c r="M412" t="s">
        <v>2994</v>
      </c>
      <c r="N412" t="s">
        <v>30</v>
      </c>
      <c r="O412" s="2">
        <f t="shared" si="12"/>
        <v>74000</v>
      </c>
      <c r="P412" s="2">
        <f t="shared" si="13"/>
        <v>888000</v>
      </c>
      <c r="Q412" s="13" t="s">
        <v>107</v>
      </c>
      <c r="R412" s="9" t="s">
        <v>1511</v>
      </c>
      <c r="S412" s="3">
        <v>30055</v>
      </c>
    </row>
    <row r="413" spans="1:19" ht="27.6">
      <c r="A413" t="s">
        <v>2995</v>
      </c>
      <c r="B413" t="s">
        <v>2996</v>
      </c>
      <c r="C413" t="s">
        <v>2997</v>
      </c>
      <c r="D413" t="s">
        <v>22</v>
      </c>
      <c r="E413" t="s">
        <v>2998</v>
      </c>
      <c r="F413" t="s">
        <v>2999</v>
      </c>
      <c r="G413" t="s">
        <v>3000</v>
      </c>
      <c r="H413" t="s">
        <v>2920</v>
      </c>
      <c r="I413" t="s">
        <v>2929</v>
      </c>
      <c r="J413" s="2">
        <v>82000</v>
      </c>
      <c r="K413" s="3">
        <v>45155</v>
      </c>
      <c r="L413" t="s">
        <v>28</v>
      </c>
      <c r="M413" t="s">
        <v>3001</v>
      </c>
      <c r="N413" t="s">
        <v>30</v>
      </c>
      <c r="O413" s="2">
        <f t="shared" si="12"/>
        <v>82000</v>
      </c>
      <c r="P413" s="2">
        <f t="shared" si="13"/>
        <v>984000</v>
      </c>
      <c r="Q413" s="13" t="s">
        <v>2947</v>
      </c>
      <c r="R413" s="9" t="s">
        <v>2948</v>
      </c>
      <c r="S413" s="3">
        <v>32776</v>
      </c>
    </row>
    <row r="414" spans="1:19">
      <c r="A414" t="s">
        <v>3002</v>
      </c>
      <c r="B414" t="s">
        <v>3003</v>
      </c>
      <c r="C414" t="s">
        <v>3004</v>
      </c>
      <c r="D414" t="s">
        <v>22</v>
      </c>
      <c r="E414" t="s">
        <v>3005</v>
      </c>
      <c r="F414" t="s">
        <v>3006</v>
      </c>
      <c r="G414" t="s">
        <v>3007</v>
      </c>
      <c r="H414" t="s">
        <v>2920</v>
      </c>
      <c r="I414" t="s">
        <v>2937</v>
      </c>
      <c r="J414" s="2">
        <v>42000</v>
      </c>
      <c r="K414" s="3">
        <v>45164</v>
      </c>
      <c r="L414" t="s">
        <v>28</v>
      </c>
      <c r="M414" t="s">
        <v>3008</v>
      </c>
      <c r="N414" t="s">
        <v>98</v>
      </c>
      <c r="O414" s="2">
        <f t="shared" si="12"/>
        <v>42000</v>
      </c>
      <c r="P414" s="2">
        <f t="shared" si="13"/>
        <v>504000</v>
      </c>
      <c r="Q414" s="13" t="s">
        <v>90</v>
      </c>
      <c r="R414" s="9" t="s">
        <v>54</v>
      </c>
      <c r="S414" s="3">
        <v>35103</v>
      </c>
    </row>
    <row r="415" spans="1:19">
      <c r="A415" t="s">
        <v>3009</v>
      </c>
      <c r="B415" t="s">
        <v>3010</v>
      </c>
      <c r="C415" t="s">
        <v>3011</v>
      </c>
      <c r="D415" t="s">
        <v>22</v>
      </c>
      <c r="E415" t="s">
        <v>3012</v>
      </c>
      <c r="F415" t="s">
        <v>3013</v>
      </c>
      <c r="G415" t="s">
        <v>3014</v>
      </c>
      <c r="H415" t="s">
        <v>2920</v>
      </c>
      <c r="I415" t="s">
        <v>2945</v>
      </c>
      <c r="J415" s="2">
        <v>41000</v>
      </c>
      <c r="K415" s="3">
        <v>45173</v>
      </c>
      <c r="L415" t="s">
        <v>28</v>
      </c>
      <c r="M415" t="s">
        <v>3015</v>
      </c>
      <c r="N415" t="s">
        <v>73</v>
      </c>
      <c r="O415" s="2">
        <f t="shared" si="12"/>
        <v>41000</v>
      </c>
      <c r="P415" s="2">
        <f t="shared" si="13"/>
        <v>492000</v>
      </c>
      <c r="Q415" s="13" t="s">
        <v>1707</v>
      </c>
      <c r="R415" s="9" t="s">
        <v>43</v>
      </c>
      <c r="S415" s="3">
        <v>37821</v>
      </c>
    </row>
    <row r="416" spans="1:19">
      <c r="A416" t="s">
        <v>3016</v>
      </c>
      <c r="B416" t="s">
        <v>3017</v>
      </c>
      <c r="C416" t="s">
        <v>3018</v>
      </c>
      <c r="D416" t="s">
        <v>22</v>
      </c>
      <c r="E416" t="s">
        <v>3019</v>
      </c>
      <c r="F416" t="s">
        <v>3020</v>
      </c>
      <c r="G416" t="s">
        <v>3021</v>
      </c>
      <c r="H416" t="s">
        <v>2920</v>
      </c>
      <c r="I416" t="s">
        <v>2954</v>
      </c>
      <c r="J416" s="2">
        <v>85000</v>
      </c>
      <c r="K416" s="3">
        <v>45182</v>
      </c>
      <c r="L416" t="s">
        <v>28</v>
      </c>
      <c r="M416" t="s">
        <v>3022</v>
      </c>
      <c r="N416" t="s">
        <v>204</v>
      </c>
      <c r="O416" s="2">
        <f t="shared" si="12"/>
        <v>85000</v>
      </c>
      <c r="P416" s="2">
        <f t="shared" si="13"/>
        <v>1020000</v>
      </c>
      <c r="Q416" s="13" t="s">
        <v>137</v>
      </c>
      <c r="R416" s="9" t="s">
        <v>1511</v>
      </c>
      <c r="S416" s="3">
        <v>29922</v>
      </c>
    </row>
    <row r="417" spans="1:19" ht="27.6">
      <c r="A417" t="s">
        <v>3023</v>
      </c>
      <c r="B417" t="s">
        <v>3024</v>
      </c>
      <c r="C417" t="s">
        <v>1043</v>
      </c>
      <c r="D417" t="s">
        <v>22</v>
      </c>
      <c r="E417" t="s">
        <v>3025</v>
      </c>
      <c r="F417" t="s">
        <v>3026</v>
      </c>
      <c r="G417" t="s">
        <v>3027</v>
      </c>
      <c r="H417" t="s">
        <v>2920</v>
      </c>
      <c r="I417" t="s">
        <v>2921</v>
      </c>
      <c r="J417" s="2">
        <v>49000</v>
      </c>
      <c r="K417" s="3">
        <v>45191</v>
      </c>
      <c r="L417" t="s">
        <v>28</v>
      </c>
      <c r="M417" t="s">
        <v>3028</v>
      </c>
      <c r="N417" t="s">
        <v>204</v>
      </c>
      <c r="O417" s="2">
        <f t="shared" si="12"/>
        <v>49000</v>
      </c>
      <c r="P417" s="2">
        <f t="shared" si="13"/>
        <v>588000</v>
      </c>
      <c r="Q417" s="13" t="s">
        <v>2947</v>
      </c>
      <c r="R417" s="9" t="s">
        <v>2948</v>
      </c>
      <c r="S417" s="3">
        <v>32276</v>
      </c>
    </row>
    <row r="418" spans="1:19">
      <c r="A418" t="s">
        <v>3029</v>
      </c>
      <c r="B418" t="s">
        <v>3030</v>
      </c>
      <c r="C418" t="s">
        <v>3031</v>
      </c>
      <c r="D418" t="s">
        <v>22</v>
      </c>
      <c r="E418" t="s">
        <v>3032</v>
      </c>
      <c r="F418" t="s">
        <v>3033</v>
      </c>
      <c r="G418" t="s">
        <v>3034</v>
      </c>
      <c r="H418" t="s">
        <v>2920</v>
      </c>
      <c r="I418" t="s">
        <v>2929</v>
      </c>
      <c r="J418" s="2">
        <v>45000</v>
      </c>
      <c r="K418" s="3">
        <v>45200</v>
      </c>
      <c r="L418" t="s">
        <v>28</v>
      </c>
      <c r="M418" t="s">
        <v>3035</v>
      </c>
      <c r="N418" t="s">
        <v>82</v>
      </c>
      <c r="O418" s="2">
        <f t="shared" si="12"/>
        <v>45000</v>
      </c>
      <c r="P418" s="2">
        <f t="shared" si="13"/>
        <v>540000</v>
      </c>
      <c r="Q418" s="13" t="s">
        <v>122</v>
      </c>
      <c r="R418" s="9" t="s">
        <v>54</v>
      </c>
      <c r="S418" s="3">
        <v>34996</v>
      </c>
    </row>
    <row r="419" spans="1:19">
      <c r="A419" t="s">
        <v>3036</v>
      </c>
      <c r="B419" t="s">
        <v>3037</v>
      </c>
      <c r="C419" t="s">
        <v>2836</v>
      </c>
      <c r="D419" t="s">
        <v>22</v>
      </c>
      <c r="E419" t="s">
        <v>3038</v>
      </c>
      <c r="F419" t="s">
        <v>3039</v>
      </c>
      <c r="G419" t="s">
        <v>3040</v>
      </c>
      <c r="H419" t="s">
        <v>2920</v>
      </c>
      <c r="I419" t="s">
        <v>2937</v>
      </c>
      <c r="J419" s="2">
        <v>33000</v>
      </c>
      <c r="K419" s="3">
        <v>45209</v>
      </c>
      <c r="L419" t="s">
        <v>28</v>
      </c>
      <c r="M419" t="s">
        <v>3041</v>
      </c>
      <c r="N419" t="s">
        <v>30</v>
      </c>
      <c r="O419" s="2">
        <f t="shared" si="12"/>
        <v>33000</v>
      </c>
      <c r="P419" s="2">
        <f t="shared" si="13"/>
        <v>396000</v>
      </c>
      <c r="Q419" s="13" t="s">
        <v>1707</v>
      </c>
      <c r="R419" s="9" t="s">
        <v>43</v>
      </c>
      <c r="S419" s="3">
        <v>37322</v>
      </c>
    </row>
    <row r="420" spans="1:19" ht="27.6">
      <c r="A420" t="s">
        <v>3042</v>
      </c>
      <c r="B420" t="s">
        <v>3043</v>
      </c>
      <c r="C420" t="s">
        <v>3044</v>
      </c>
      <c r="D420" t="s">
        <v>22</v>
      </c>
      <c r="E420" t="s">
        <v>3045</v>
      </c>
      <c r="F420" t="s">
        <v>3046</v>
      </c>
      <c r="G420" t="s">
        <v>3047</v>
      </c>
      <c r="H420" t="s">
        <v>2920</v>
      </c>
      <c r="I420" t="s">
        <v>2945</v>
      </c>
      <c r="J420" s="2">
        <v>69000</v>
      </c>
      <c r="K420" s="3">
        <v>45218</v>
      </c>
      <c r="L420" t="s">
        <v>28</v>
      </c>
      <c r="M420" t="s">
        <v>3048</v>
      </c>
      <c r="N420" t="s">
        <v>106</v>
      </c>
      <c r="O420" s="2">
        <f t="shared" si="12"/>
        <v>69000</v>
      </c>
      <c r="P420" s="2">
        <f t="shared" si="13"/>
        <v>828000</v>
      </c>
      <c r="Q420" s="13" t="s">
        <v>167</v>
      </c>
      <c r="R420" s="9" t="s">
        <v>1511</v>
      </c>
      <c r="S420" s="3">
        <v>29451</v>
      </c>
    </row>
    <row r="421" spans="1:19" ht="27.6">
      <c r="A421" t="s">
        <v>3049</v>
      </c>
      <c r="B421" t="s">
        <v>3050</v>
      </c>
      <c r="C421" t="s">
        <v>3051</v>
      </c>
      <c r="D421" t="s">
        <v>22</v>
      </c>
      <c r="E421" t="s">
        <v>3052</v>
      </c>
      <c r="F421" t="s">
        <v>3053</v>
      </c>
      <c r="G421" t="s">
        <v>3054</v>
      </c>
      <c r="H421" t="s">
        <v>2920</v>
      </c>
      <c r="I421" t="s">
        <v>2954</v>
      </c>
      <c r="J421" s="2">
        <v>65000</v>
      </c>
      <c r="K421" s="3">
        <v>45227</v>
      </c>
      <c r="L421" t="s">
        <v>28</v>
      </c>
      <c r="M421" t="s">
        <v>3055</v>
      </c>
      <c r="N421" t="s">
        <v>98</v>
      </c>
      <c r="O421" s="2">
        <f t="shared" si="12"/>
        <v>65000</v>
      </c>
      <c r="P421" s="2">
        <f t="shared" si="13"/>
        <v>780000</v>
      </c>
      <c r="Q421" s="13" t="s">
        <v>2947</v>
      </c>
      <c r="R421" s="9" t="s">
        <v>2948</v>
      </c>
      <c r="S421" s="3">
        <v>31778</v>
      </c>
    </row>
    <row r="422" spans="1:19">
      <c r="A422" t="s">
        <v>3056</v>
      </c>
      <c r="B422" t="s">
        <v>3057</v>
      </c>
      <c r="C422" t="s">
        <v>3058</v>
      </c>
      <c r="D422" t="s">
        <v>22</v>
      </c>
      <c r="E422" t="s">
        <v>3059</v>
      </c>
      <c r="F422" t="s">
        <v>3060</v>
      </c>
      <c r="G422" t="s">
        <v>3061</v>
      </c>
      <c r="H422" t="s">
        <v>2920</v>
      </c>
      <c r="I422" t="s">
        <v>2921</v>
      </c>
      <c r="J422" s="2">
        <v>34000</v>
      </c>
      <c r="K422" s="3">
        <v>45236</v>
      </c>
      <c r="L422" t="s">
        <v>28</v>
      </c>
      <c r="M422" t="s">
        <v>3062</v>
      </c>
      <c r="N422" t="s">
        <v>204</v>
      </c>
      <c r="O422" s="2">
        <f t="shared" si="12"/>
        <v>34000</v>
      </c>
      <c r="P422" s="2">
        <f t="shared" si="13"/>
        <v>408000</v>
      </c>
      <c r="Q422" s="13" t="s">
        <v>152</v>
      </c>
      <c r="R422" s="9" t="s">
        <v>54</v>
      </c>
      <c r="S422" s="3">
        <v>34497</v>
      </c>
    </row>
    <row r="423" spans="1:19">
      <c r="A423" t="s">
        <v>3063</v>
      </c>
      <c r="B423" t="s">
        <v>3064</v>
      </c>
      <c r="C423" t="s">
        <v>3065</v>
      </c>
      <c r="D423" t="s">
        <v>22</v>
      </c>
      <c r="E423" t="s">
        <v>3066</v>
      </c>
      <c r="F423" t="s">
        <v>3067</v>
      </c>
      <c r="G423" t="s">
        <v>3068</v>
      </c>
      <c r="H423" t="s">
        <v>2920</v>
      </c>
      <c r="I423" t="s">
        <v>2929</v>
      </c>
      <c r="J423" s="2">
        <v>85000</v>
      </c>
      <c r="K423" s="3">
        <v>45245</v>
      </c>
      <c r="L423" t="s">
        <v>28</v>
      </c>
      <c r="M423" t="s">
        <v>3069</v>
      </c>
      <c r="N423" t="s">
        <v>52</v>
      </c>
      <c r="O423" s="2">
        <f t="shared" si="12"/>
        <v>85000</v>
      </c>
      <c r="P423" s="2">
        <f t="shared" si="13"/>
        <v>1020000</v>
      </c>
      <c r="Q423" s="13" t="s">
        <v>1707</v>
      </c>
      <c r="R423" s="9" t="s">
        <v>43</v>
      </c>
      <c r="S423" s="3">
        <v>37218</v>
      </c>
    </row>
    <row r="424" spans="1:19" ht="27.6">
      <c r="A424" t="s">
        <v>3070</v>
      </c>
      <c r="B424" t="s">
        <v>3071</v>
      </c>
      <c r="C424" t="s">
        <v>3072</v>
      </c>
      <c r="D424" t="s">
        <v>22</v>
      </c>
      <c r="E424" t="s">
        <v>3073</v>
      </c>
      <c r="F424" t="s">
        <v>3074</v>
      </c>
      <c r="G424" t="s">
        <v>3075</v>
      </c>
      <c r="H424" t="s">
        <v>2920</v>
      </c>
      <c r="I424" t="s">
        <v>2937</v>
      </c>
      <c r="J424" s="2">
        <v>76000</v>
      </c>
      <c r="K424" s="3">
        <v>45254</v>
      </c>
      <c r="L424" t="s">
        <v>28</v>
      </c>
      <c r="M424" t="s">
        <v>3076</v>
      </c>
      <c r="N424" t="s">
        <v>98</v>
      </c>
      <c r="O424" s="2">
        <f t="shared" si="12"/>
        <v>76000</v>
      </c>
      <c r="P424" s="2">
        <f t="shared" si="13"/>
        <v>912000</v>
      </c>
      <c r="Q424" s="13" t="s">
        <v>31</v>
      </c>
      <c r="R424" s="9" t="s">
        <v>1511</v>
      </c>
      <c r="S424" s="3">
        <v>28951</v>
      </c>
    </row>
    <row r="425" spans="1:19" ht="27.6">
      <c r="A425" t="s">
        <v>3077</v>
      </c>
      <c r="B425" t="s">
        <v>3078</v>
      </c>
      <c r="C425" t="s">
        <v>3079</v>
      </c>
      <c r="D425" t="s">
        <v>22</v>
      </c>
      <c r="E425" t="s">
        <v>3080</v>
      </c>
      <c r="F425" t="s">
        <v>3081</v>
      </c>
      <c r="G425" t="s">
        <v>3082</v>
      </c>
      <c r="H425" t="s">
        <v>2920</v>
      </c>
      <c r="I425" t="s">
        <v>2945</v>
      </c>
      <c r="J425" s="2">
        <v>46000</v>
      </c>
      <c r="K425" s="3">
        <v>45263</v>
      </c>
      <c r="L425" t="s">
        <v>28</v>
      </c>
      <c r="M425" t="s">
        <v>3083</v>
      </c>
      <c r="N425" t="s">
        <v>204</v>
      </c>
      <c r="O425" s="2">
        <f t="shared" si="12"/>
        <v>46000</v>
      </c>
      <c r="P425" s="2">
        <f t="shared" si="13"/>
        <v>552000</v>
      </c>
      <c r="Q425" s="13" t="s">
        <v>2947</v>
      </c>
      <c r="R425" s="9" t="s">
        <v>2948</v>
      </c>
      <c r="S425" s="3">
        <v>31672</v>
      </c>
    </row>
    <row r="426" spans="1:19" ht="27.6">
      <c r="A426" t="s">
        <v>3084</v>
      </c>
      <c r="B426" t="s">
        <v>2271</v>
      </c>
      <c r="C426" t="s">
        <v>20</v>
      </c>
      <c r="D426" t="s">
        <v>22</v>
      </c>
      <c r="E426" t="s">
        <v>3085</v>
      </c>
      <c r="F426" t="s">
        <v>3086</v>
      </c>
      <c r="G426" t="s">
        <v>3087</v>
      </c>
      <c r="H426" t="s">
        <v>2920</v>
      </c>
      <c r="I426" t="s">
        <v>2954</v>
      </c>
      <c r="J426" s="2">
        <v>60000</v>
      </c>
      <c r="K426" s="3">
        <v>45272</v>
      </c>
      <c r="L426" t="s">
        <v>28</v>
      </c>
      <c r="M426" t="s">
        <v>3088</v>
      </c>
      <c r="N426" t="s">
        <v>30</v>
      </c>
      <c r="O426" s="2">
        <f t="shared" si="12"/>
        <v>60000</v>
      </c>
      <c r="P426" s="2">
        <f t="shared" si="13"/>
        <v>720000</v>
      </c>
      <c r="Q426" s="13" t="s">
        <v>182</v>
      </c>
      <c r="R426" s="9" t="s">
        <v>54</v>
      </c>
      <c r="S426" s="3">
        <v>34028</v>
      </c>
    </row>
    <row r="427" spans="1:19">
      <c r="A427" t="s">
        <v>3089</v>
      </c>
      <c r="B427" t="s">
        <v>770</v>
      </c>
      <c r="C427" t="s">
        <v>2147</v>
      </c>
      <c r="D427" t="s">
        <v>22</v>
      </c>
      <c r="E427" t="s">
        <v>3090</v>
      </c>
      <c r="F427" t="s">
        <v>3091</v>
      </c>
      <c r="G427" t="s">
        <v>3092</v>
      </c>
      <c r="H427" t="s">
        <v>3093</v>
      </c>
      <c r="I427" t="s">
        <v>3094</v>
      </c>
      <c r="J427" s="2">
        <v>133000</v>
      </c>
      <c r="K427" s="3">
        <v>45281</v>
      </c>
      <c r="L427" t="s">
        <v>28</v>
      </c>
      <c r="M427" t="s">
        <v>3095</v>
      </c>
      <c r="N427" t="s">
        <v>73</v>
      </c>
      <c r="O427" s="2">
        <f t="shared" si="12"/>
        <v>133000</v>
      </c>
      <c r="P427" s="2">
        <f t="shared" si="13"/>
        <v>1596000</v>
      </c>
      <c r="Q427" s="13" t="s">
        <v>1163</v>
      </c>
      <c r="R427" s="9" t="s">
        <v>3096</v>
      </c>
      <c r="S427" s="3">
        <v>36718</v>
      </c>
    </row>
    <row r="428" spans="1:19" ht="27.6">
      <c r="A428" t="s">
        <v>3097</v>
      </c>
      <c r="B428" t="s">
        <v>3098</v>
      </c>
      <c r="C428" t="s">
        <v>3099</v>
      </c>
      <c r="D428" t="s">
        <v>22</v>
      </c>
      <c r="E428" t="s">
        <v>3100</v>
      </c>
      <c r="F428" t="s">
        <v>3101</v>
      </c>
      <c r="G428" t="s">
        <v>3102</v>
      </c>
      <c r="H428" t="s">
        <v>3093</v>
      </c>
      <c r="I428" t="s">
        <v>3103</v>
      </c>
      <c r="J428" s="2">
        <v>53000</v>
      </c>
      <c r="K428" s="3">
        <v>45290</v>
      </c>
      <c r="L428" t="s">
        <v>28</v>
      </c>
      <c r="M428" t="s">
        <v>3104</v>
      </c>
      <c r="N428" t="s">
        <v>52</v>
      </c>
      <c r="O428" s="2">
        <f t="shared" si="12"/>
        <v>53000</v>
      </c>
      <c r="P428" s="2">
        <f t="shared" si="13"/>
        <v>636000</v>
      </c>
      <c r="Q428" s="13" t="s">
        <v>74</v>
      </c>
      <c r="R428" s="9" t="s">
        <v>244</v>
      </c>
      <c r="S428" s="3">
        <v>28846</v>
      </c>
    </row>
    <row r="429" spans="1:19">
      <c r="A429" t="s">
        <v>3105</v>
      </c>
      <c r="B429" t="s">
        <v>3106</v>
      </c>
      <c r="C429" t="s">
        <v>3107</v>
      </c>
      <c r="D429" t="s">
        <v>22</v>
      </c>
      <c r="E429" t="s">
        <v>3108</v>
      </c>
      <c r="F429" t="s">
        <v>3109</v>
      </c>
      <c r="G429" t="s">
        <v>3110</v>
      </c>
      <c r="H429" t="s">
        <v>3093</v>
      </c>
      <c r="I429" t="s">
        <v>3111</v>
      </c>
      <c r="J429" s="2">
        <v>53000</v>
      </c>
      <c r="K429" s="3">
        <v>45299</v>
      </c>
      <c r="L429" t="s">
        <v>28</v>
      </c>
      <c r="M429" t="s">
        <v>3112</v>
      </c>
      <c r="N429" t="s">
        <v>204</v>
      </c>
      <c r="O429" s="2">
        <f t="shared" si="12"/>
        <v>53000</v>
      </c>
      <c r="P429" s="2">
        <f t="shared" si="13"/>
        <v>636000</v>
      </c>
      <c r="Q429" s="13" t="s">
        <v>53</v>
      </c>
      <c r="R429" s="9" t="s">
        <v>54</v>
      </c>
      <c r="S429" s="3">
        <v>31172</v>
      </c>
    </row>
    <row r="430" spans="1:19" ht="27.6">
      <c r="A430" t="s">
        <v>3113</v>
      </c>
      <c r="B430" t="s">
        <v>1550</v>
      </c>
      <c r="C430" t="s">
        <v>3114</v>
      </c>
      <c r="D430" t="s">
        <v>22</v>
      </c>
      <c r="E430" t="s">
        <v>3115</v>
      </c>
      <c r="F430" t="s">
        <v>3116</v>
      </c>
      <c r="G430" t="s">
        <v>3117</v>
      </c>
      <c r="H430" t="s">
        <v>3093</v>
      </c>
      <c r="I430" t="s">
        <v>3118</v>
      </c>
      <c r="J430" s="2">
        <v>78000</v>
      </c>
      <c r="K430" s="3">
        <v>45308</v>
      </c>
      <c r="L430" t="s">
        <v>28</v>
      </c>
      <c r="M430" t="s">
        <v>3119</v>
      </c>
      <c r="N430" t="s">
        <v>73</v>
      </c>
      <c r="O430" s="2">
        <f t="shared" si="12"/>
        <v>78000</v>
      </c>
      <c r="P430" s="2">
        <f t="shared" si="13"/>
        <v>936000</v>
      </c>
      <c r="Q430" s="13" t="s">
        <v>608</v>
      </c>
      <c r="R430" s="9" t="s">
        <v>3120</v>
      </c>
      <c r="S430" s="3">
        <v>33893</v>
      </c>
    </row>
    <row r="431" spans="1:19">
      <c r="A431" t="s">
        <v>3121</v>
      </c>
      <c r="B431" t="s">
        <v>3122</v>
      </c>
      <c r="C431" t="s">
        <v>3123</v>
      </c>
      <c r="D431" t="s">
        <v>22</v>
      </c>
      <c r="E431" t="s">
        <v>3124</v>
      </c>
      <c r="F431" t="s">
        <v>3125</v>
      </c>
      <c r="G431" t="s">
        <v>3126</v>
      </c>
      <c r="H431" t="s">
        <v>3093</v>
      </c>
      <c r="I431" t="s">
        <v>3127</v>
      </c>
      <c r="J431" s="2">
        <v>102000</v>
      </c>
      <c r="K431" s="3">
        <v>45317</v>
      </c>
      <c r="L431" t="s">
        <v>28</v>
      </c>
      <c r="M431" t="s">
        <v>3128</v>
      </c>
      <c r="N431" t="s">
        <v>98</v>
      </c>
      <c r="O431" s="2">
        <f t="shared" si="12"/>
        <v>102000</v>
      </c>
      <c r="P431" s="2">
        <f t="shared" si="13"/>
        <v>1224000</v>
      </c>
      <c r="Q431" s="13" t="s">
        <v>1163</v>
      </c>
      <c r="R431" s="9" t="s">
        <v>3096</v>
      </c>
      <c r="S431" s="3">
        <v>36246</v>
      </c>
    </row>
    <row r="432" spans="1:19">
      <c r="A432" t="s">
        <v>3129</v>
      </c>
      <c r="B432" t="s">
        <v>3130</v>
      </c>
      <c r="C432" t="s">
        <v>3131</v>
      </c>
      <c r="D432" t="s">
        <v>22</v>
      </c>
      <c r="E432" t="s">
        <v>3132</v>
      </c>
      <c r="F432" t="s">
        <v>3133</v>
      </c>
      <c r="G432" t="s">
        <v>3134</v>
      </c>
      <c r="H432" t="s">
        <v>3093</v>
      </c>
      <c r="I432" t="s">
        <v>3094</v>
      </c>
      <c r="J432" s="2">
        <v>82000</v>
      </c>
      <c r="K432" s="3">
        <v>45326</v>
      </c>
      <c r="L432" t="s">
        <v>28</v>
      </c>
      <c r="M432" t="s">
        <v>3135</v>
      </c>
      <c r="N432" t="s">
        <v>52</v>
      </c>
      <c r="O432" s="2">
        <f t="shared" si="12"/>
        <v>82000</v>
      </c>
      <c r="P432" s="2">
        <f t="shared" si="13"/>
        <v>984000</v>
      </c>
      <c r="Q432" s="13" t="s">
        <v>107</v>
      </c>
      <c r="R432" s="9" t="s">
        <v>244</v>
      </c>
      <c r="S432" s="3">
        <v>28347</v>
      </c>
    </row>
    <row r="433" spans="1:19">
      <c r="A433" t="s">
        <v>3136</v>
      </c>
      <c r="B433" t="s">
        <v>3137</v>
      </c>
      <c r="C433" t="s">
        <v>3138</v>
      </c>
      <c r="D433" t="s">
        <v>22</v>
      </c>
      <c r="E433" t="s">
        <v>3139</v>
      </c>
      <c r="F433" t="s">
        <v>3140</v>
      </c>
      <c r="G433" t="s">
        <v>3141</v>
      </c>
      <c r="H433" t="s">
        <v>3093</v>
      </c>
      <c r="I433" t="s">
        <v>3103</v>
      </c>
      <c r="J433" s="2">
        <v>141000</v>
      </c>
      <c r="K433" s="3">
        <v>45335</v>
      </c>
      <c r="L433" t="s">
        <v>28</v>
      </c>
      <c r="M433" t="s">
        <v>3142</v>
      </c>
      <c r="N433" t="s">
        <v>82</v>
      </c>
      <c r="O433" s="2">
        <f t="shared" si="12"/>
        <v>141000</v>
      </c>
      <c r="P433" s="2">
        <f t="shared" si="13"/>
        <v>1692000</v>
      </c>
      <c r="Q433" s="13" t="s">
        <v>90</v>
      </c>
      <c r="R433" s="9" t="s">
        <v>54</v>
      </c>
      <c r="S433" s="3">
        <v>30702</v>
      </c>
    </row>
    <row r="434" spans="1:19" ht="27.6">
      <c r="A434" t="s">
        <v>3143</v>
      </c>
      <c r="B434" t="s">
        <v>3144</v>
      </c>
      <c r="C434" t="s">
        <v>3145</v>
      </c>
      <c r="D434" t="s">
        <v>22</v>
      </c>
      <c r="E434" t="s">
        <v>3146</v>
      </c>
      <c r="F434" t="s">
        <v>3147</v>
      </c>
      <c r="G434" t="s">
        <v>3148</v>
      </c>
      <c r="H434" t="s">
        <v>3093</v>
      </c>
      <c r="I434" t="s">
        <v>3111</v>
      </c>
      <c r="J434" s="2">
        <v>119000</v>
      </c>
      <c r="K434" s="3">
        <v>45344</v>
      </c>
      <c r="L434" t="s">
        <v>28</v>
      </c>
      <c r="M434" t="s">
        <v>3149</v>
      </c>
      <c r="N434" t="s">
        <v>82</v>
      </c>
      <c r="O434" s="2">
        <f t="shared" si="12"/>
        <v>119000</v>
      </c>
      <c r="P434" s="2">
        <f t="shared" si="13"/>
        <v>1428000</v>
      </c>
      <c r="Q434" s="13" t="s">
        <v>608</v>
      </c>
      <c r="R434" s="9" t="s">
        <v>3120</v>
      </c>
      <c r="S434" s="3">
        <v>33393</v>
      </c>
    </row>
    <row r="435" spans="1:19">
      <c r="A435" t="s">
        <v>3150</v>
      </c>
      <c r="B435" t="s">
        <v>3151</v>
      </c>
      <c r="C435" t="s">
        <v>3152</v>
      </c>
      <c r="D435" t="s">
        <v>22</v>
      </c>
      <c r="E435" t="s">
        <v>3153</v>
      </c>
      <c r="F435" t="s">
        <v>3154</v>
      </c>
      <c r="G435" t="s">
        <v>3155</v>
      </c>
      <c r="H435" t="s">
        <v>3093</v>
      </c>
      <c r="I435" t="s">
        <v>3118</v>
      </c>
      <c r="J435" s="2">
        <v>140000</v>
      </c>
      <c r="K435" s="3">
        <v>45353</v>
      </c>
      <c r="L435" t="s">
        <v>28</v>
      </c>
      <c r="M435" t="s">
        <v>3156</v>
      </c>
      <c r="N435" t="s">
        <v>73</v>
      </c>
      <c r="O435" s="2">
        <f t="shared" si="12"/>
        <v>140000</v>
      </c>
      <c r="P435" s="2">
        <f t="shared" si="13"/>
        <v>1680000</v>
      </c>
      <c r="Q435" s="13" t="s">
        <v>1163</v>
      </c>
      <c r="R435" s="9" t="s">
        <v>3096</v>
      </c>
      <c r="S435" s="3">
        <v>36114</v>
      </c>
    </row>
    <row r="436" spans="1:19">
      <c r="A436" t="s">
        <v>3157</v>
      </c>
      <c r="B436" t="s">
        <v>3158</v>
      </c>
      <c r="C436" t="s">
        <v>1181</v>
      </c>
      <c r="D436" t="s">
        <v>22</v>
      </c>
      <c r="E436" t="s">
        <v>3159</v>
      </c>
      <c r="F436" t="s">
        <v>3160</v>
      </c>
      <c r="G436" t="s">
        <v>3161</v>
      </c>
      <c r="H436" t="s">
        <v>3093</v>
      </c>
      <c r="I436" t="s">
        <v>3127</v>
      </c>
      <c r="J436" s="2">
        <v>91000</v>
      </c>
      <c r="K436" s="3">
        <v>45362</v>
      </c>
      <c r="L436" t="s">
        <v>28</v>
      </c>
      <c r="M436" t="s">
        <v>3162</v>
      </c>
      <c r="N436" t="s">
        <v>30</v>
      </c>
      <c r="O436" s="2">
        <f t="shared" si="12"/>
        <v>91000</v>
      </c>
      <c r="P436" s="2">
        <f t="shared" si="13"/>
        <v>1092000</v>
      </c>
      <c r="Q436" s="13" t="s">
        <v>137</v>
      </c>
      <c r="R436" s="9" t="s">
        <v>244</v>
      </c>
      <c r="S436" s="3">
        <v>27876</v>
      </c>
    </row>
    <row r="437" spans="1:19">
      <c r="A437" t="s">
        <v>3163</v>
      </c>
      <c r="B437" t="s">
        <v>3164</v>
      </c>
      <c r="C437" t="s">
        <v>3165</v>
      </c>
      <c r="D437" t="s">
        <v>22</v>
      </c>
      <c r="E437" t="s">
        <v>3166</v>
      </c>
      <c r="F437" t="s">
        <v>3167</v>
      </c>
      <c r="G437" t="s">
        <v>3168</v>
      </c>
      <c r="H437" t="s">
        <v>3093</v>
      </c>
      <c r="I437" t="s">
        <v>3094</v>
      </c>
      <c r="J437" s="2">
        <v>53000</v>
      </c>
      <c r="K437" s="3">
        <v>45371</v>
      </c>
      <c r="L437" t="s">
        <v>28</v>
      </c>
      <c r="M437" t="s">
        <v>3169</v>
      </c>
      <c r="N437" t="s">
        <v>30</v>
      </c>
      <c r="O437" s="2">
        <f t="shared" si="12"/>
        <v>53000</v>
      </c>
      <c r="P437" s="2">
        <f t="shared" si="13"/>
        <v>636000</v>
      </c>
      <c r="Q437" s="13" t="s">
        <v>122</v>
      </c>
      <c r="R437" s="9" t="s">
        <v>54</v>
      </c>
      <c r="S437" s="3">
        <v>30568</v>
      </c>
    </row>
    <row r="438" spans="1:19" ht="27.6">
      <c r="A438" t="s">
        <v>3170</v>
      </c>
      <c r="B438" t="s">
        <v>3171</v>
      </c>
      <c r="C438" t="s">
        <v>2969</v>
      </c>
      <c r="D438" t="s">
        <v>22</v>
      </c>
      <c r="E438" t="s">
        <v>3172</v>
      </c>
      <c r="F438" t="s">
        <v>3173</v>
      </c>
      <c r="G438" t="s">
        <v>3174</v>
      </c>
      <c r="H438" t="s">
        <v>3093</v>
      </c>
      <c r="I438" t="s">
        <v>3103</v>
      </c>
      <c r="J438" s="2">
        <v>127000</v>
      </c>
      <c r="K438" s="3">
        <v>45380</v>
      </c>
      <c r="L438" t="s">
        <v>28</v>
      </c>
      <c r="M438" t="s">
        <v>3175</v>
      </c>
      <c r="N438" t="s">
        <v>52</v>
      </c>
      <c r="O438" s="2">
        <f t="shared" si="12"/>
        <v>127000</v>
      </c>
      <c r="P438" s="2">
        <f t="shared" si="13"/>
        <v>1524000</v>
      </c>
      <c r="Q438" s="13" t="s">
        <v>608</v>
      </c>
      <c r="R438" s="9" t="s">
        <v>3120</v>
      </c>
      <c r="S438" s="3">
        <v>32924</v>
      </c>
    </row>
    <row r="439" spans="1:19">
      <c r="A439" t="s">
        <v>3176</v>
      </c>
      <c r="B439" t="s">
        <v>3177</v>
      </c>
      <c r="C439" t="s">
        <v>3178</v>
      </c>
      <c r="D439" t="s">
        <v>22</v>
      </c>
      <c r="E439" t="s">
        <v>3179</v>
      </c>
      <c r="F439" t="s">
        <v>3180</v>
      </c>
      <c r="G439" t="s">
        <v>3181</v>
      </c>
      <c r="H439" t="s">
        <v>3093</v>
      </c>
      <c r="I439" t="s">
        <v>3111</v>
      </c>
      <c r="J439" s="2">
        <v>74000</v>
      </c>
      <c r="K439" s="3">
        <v>45389</v>
      </c>
      <c r="L439" t="s">
        <v>28</v>
      </c>
      <c r="M439" t="s">
        <v>3182</v>
      </c>
      <c r="N439" t="s">
        <v>73</v>
      </c>
      <c r="O439" s="2">
        <f t="shared" si="12"/>
        <v>74000</v>
      </c>
      <c r="P439" s="2">
        <f t="shared" si="13"/>
        <v>888000</v>
      </c>
      <c r="Q439" s="13" t="s">
        <v>1163</v>
      </c>
      <c r="R439" s="9" t="s">
        <v>3096</v>
      </c>
      <c r="S439" s="3">
        <v>35614</v>
      </c>
    </row>
    <row r="440" spans="1:19" ht="27.6">
      <c r="A440" t="s">
        <v>3183</v>
      </c>
      <c r="B440" t="s">
        <v>3184</v>
      </c>
      <c r="C440" t="s">
        <v>3185</v>
      </c>
      <c r="D440" t="s">
        <v>22</v>
      </c>
      <c r="E440" t="s">
        <v>3186</v>
      </c>
      <c r="F440" t="s">
        <v>3187</v>
      </c>
      <c r="G440" t="s">
        <v>3188</v>
      </c>
      <c r="H440" t="s">
        <v>3093</v>
      </c>
      <c r="I440" t="s">
        <v>3118</v>
      </c>
      <c r="J440" s="2">
        <v>101000</v>
      </c>
      <c r="K440" s="3">
        <v>45398</v>
      </c>
      <c r="L440" t="s">
        <v>28</v>
      </c>
      <c r="M440" t="s">
        <v>3189</v>
      </c>
      <c r="N440" t="s">
        <v>82</v>
      </c>
      <c r="O440" s="2">
        <f t="shared" si="12"/>
        <v>101000</v>
      </c>
      <c r="P440" s="2">
        <f t="shared" si="13"/>
        <v>1212000</v>
      </c>
      <c r="Q440" s="13" t="s">
        <v>167</v>
      </c>
      <c r="R440" s="9" t="s">
        <v>244</v>
      </c>
      <c r="S440" s="3">
        <v>38335</v>
      </c>
    </row>
    <row r="441" spans="1:19">
      <c r="A441" t="s">
        <v>3190</v>
      </c>
      <c r="B441" t="s">
        <v>3191</v>
      </c>
      <c r="C441" t="s">
        <v>3192</v>
      </c>
      <c r="D441" t="s">
        <v>22</v>
      </c>
      <c r="E441" t="s">
        <v>3193</v>
      </c>
      <c r="F441" t="s">
        <v>3194</v>
      </c>
      <c r="G441" t="s">
        <v>3195</v>
      </c>
      <c r="H441" t="s">
        <v>3093</v>
      </c>
      <c r="I441" t="s">
        <v>3127</v>
      </c>
      <c r="J441" s="2">
        <v>80000</v>
      </c>
      <c r="K441" s="3">
        <v>45407</v>
      </c>
      <c r="L441" t="s">
        <v>28</v>
      </c>
      <c r="M441" t="s">
        <v>3196</v>
      </c>
      <c r="N441" t="s">
        <v>98</v>
      </c>
      <c r="O441" s="2">
        <f t="shared" si="12"/>
        <v>80000</v>
      </c>
      <c r="P441" s="2">
        <f t="shared" si="13"/>
        <v>960000</v>
      </c>
      <c r="Q441" s="13" t="s">
        <v>152</v>
      </c>
      <c r="R441" s="9" t="s">
        <v>54</v>
      </c>
      <c r="S441" s="3">
        <v>30096</v>
      </c>
    </row>
    <row r="442" spans="1:19" ht="27.6">
      <c r="A442" t="s">
        <v>3197</v>
      </c>
      <c r="B442" t="s">
        <v>1633</v>
      </c>
      <c r="C442" t="s">
        <v>3198</v>
      </c>
      <c r="D442" t="s">
        <v>22</v>
      </c>
      <c r="E442" t="s">
        <v>3199</v>
      </c>
      <c r="F442" t="s">
        <v>3200</v>
      </c>
      <c r="G442" t="s">
        <v>3201</v>
      </c>
      <c r="H442" t="s">
        <v>3093</v>
      </c>
      <c r="I442" t="s">
        <v>3094</v>
      </c>
      <c r="J442" s="2">
        <v>65000</v>
      </c>
      <c r="K442" s="3">
        <v>45416</v>
      </c>
      <c r="L442" t="s">
        <v>28</v>
      </c>
      <c r="M442" t="s">
        <v>3202</v>
      </c>
      <c r="N442" t="s">
        <v>204</v>
      </c>
      <c r="O442" s="2">
        <f t="shared" si="12"/>
        <v>65000</v>
      </c>
      <c r="P442" s="2">
        <f t="shared" si="13"/>
        <v>780000</v>
      </c>
      <c r="Q442" s="13" t="s">
        <v>608</v>
      </c>
      <c r="R442" s="9" t="s">
        <v>3120</v>
      </c>
      <c r="S442" s="3">
        <v>32789</v>
      </c>
    </row>
    <row r="443" spans="1:19">
      <c r="A443" t="s">
        <v>3203</v>
      </c>
      <c r="B443" t="s">
        <v>3204</v>
      </c>
      <c r="C443" t="s">
        <v>3205</v>
      </c>
      <c r="D443" t="s">
        <v>22</v>
      </c>
      <c r="E443" t="s">
        <v>3206</v>
      </c>
      <c r="F443" t="s">
        <v>3207</v>
      </c>
      <c r="G443" t="s">
        <v>3208</v>
      </c>
      <c r="H443" t="s">
        <v>3093</v>
      </c>
      <c r="I443" t="s">
        <v>3103</v>
      </c>
      <c r="J443" s="2">
        <v>100000</v>
      </c>
      <c r="K443" s="3">
        <v>45425</v>
      </c>
      <c r="L443" t="s">
        <v>28</v>
      </c>
      <c r="M443" t="s">
        <v>3209</v>
      </c>
      <c r="N443" t="s">
        <v>82</v>
      </c>
      <c r="O443" s="2">
        <f t="shared" si="12"/>
        <v>100000</v>
      </c>
      <c r="P443" s="2">
        <f t="shared" si="13"/>
        <v>1200000</v>
      </c>
      <c r="Q443" s="13" t="s">
        <v>1163</v>
      </c>
      <c r="R443" s="9" t="s">
        <v>3096</v>
      </c>
      <c r="S443" s="3">
        <v>35143</v>
      </c>
    </row>
    <row r="444" spans="1:19" ht="27.6">
      <c r="A444" t="s">
        <v>3210</v>
      </c>
      <c r="B444" t="s">
        <v>3211</v>
      </c>
      <c r="C444" t="s">
        <v>3212</v>
      </c>
      <c r="D444" t="s">
        <v>22</v>
      </c>
      <c r="E444" t="s">
        <v>3213</v>
      </c>
      <c r="F444" t="s">
        <v>3214</v>
      </c>
      <c r="G444" t="s">
        <v>3215</v>
      </c>
      <c r="H444" t="s">
        <v>3093</v>
      </c>
      <c r="I444" t="s">
        <v>3111</v>
      </c>
      <c r="J444" s="2">
        <v>47000</v>
      </c>
      <c r="K444" s="3">
        <v>45434</v>
      </c>
      <c r="L444" t="s">
        <v>28</v>
      </c>
      <c r="M444" t="s">
        <v>3216</v>
      </c>
      <c r="N444" t="s">
        <v>106</v>
      </c>
      <c r="O444" s="2">
        <f t="shared" si="12"/>
        <v>47000</v>
      </c>
      <c r="P444" s="2">
        <f t="shared" si="13"/>
        <v>564000</v>
      </c>
      <c r="Q444" s="13" t="s">
        <v>31</v>
      </c>
      <c r="R444" s="9" t="s">
        <v>244</v>
      </c>
      <c r="S444" s="3">
        <v>37835</v>
      </c>
    </row>
    <row r="445" spans="1:19" ht="27.6">
      <c r="A445" t="s">
        <v>3217</v>
      </c>
      <c r="B445" t="s">
        <v>2406</v>
      </c>
      <c r="C445" t="s">
        <v>3218</v>
      </c>
      <c r="D445" t="s">
        <v>22</v>
      </c>
      <c r="E445" t="s">
        <v>3219</v>
      </c>
      <c r="F445" t="s">
        <v>3220</v>
      </c>
      <c r="G445" t="s">
        <v>3221</v>
      </c>
      <c r="H445" t="s">
        <v>3093</v>
      </c>
      <c r="I445" t="s">
        <v>3118</v>
      </c>
      <c r="J445" s="2">
        <v>70000</v>
      </c>
      <c r="K445" s="3">
        <v>45443</v>
      </c>
      <c r="L445" t="s">
        <v>28</v>
      </c>
      <c r="M445" t="s">
        <v>3222</v>
      </c>
      <c r="N445" t="s">
        <v>30</v>
      </c>
      <c r="O445" s="2">
        <f t="shared" si="12"/>
        <v>70000</v>
      </c>
      <c r="P445" s="2">
        <f t="shared" si="13"/>
        <v>840000</v>
      </c>
      <c r="Q445" s="13" t="s">
        <v>182</v>
      </c>
      <c r="R445" s="9" t="s">
        <v>54</v>
      </c>
      <c r="S445" s="3">
        <v>29599</v>
      </c>
    </row>
    <row r="446" spans="1:19" ht="27.6">
      <c r="A446" t="s">
        <v>3223</v>
      </c>
      <c r="B446" t="s">
        <v>3224</v>
      </c>
      <c r="C446" t="s">
        <v>3225</v>
      </c>
      <c r="D446" t="s">
        <v>22</v>
      </c>
      <c r="E446" t="s">
        <v>3226</v>
      </c>
      <c r="F446" t="s">
        <v>3227</v>
      </c>
      <c r="G446" t="s">
        <v>3228</v>
      </c>
      <c r="H446" t="s">
        <v>3093</v>
      </c>
      <c r="I446" t="s">
        <v>3127</v>
      </c>
      <c r="J446" s="2">
        <v>48000</v>
      </c>
      <c r="K446" s="3">
        <v>45452</v>
      </c>
      <c r="L446" t="s">
        <v>28</v>
      </c>
      <c r="M446" t="s">
        <v>3229</v>
      </c>
      <c r="N446" t="s">
        <v>73</v>
      </c>
      <c r="O446" s="2">
        <f t="shared" si="12"/>
        <v>48000</v>
      </c>
      <c r="P446" s="2">
        <f t="shared" si="13"/>
        <v>576000</v>
      </c>
      <c r="Q446" s="13" t="s">
        <v>608</v>
      </c>
      <c r="R446" s="9" t="s">
        <v>3120</v>
      </c>
      <c r="S446" s="3">
        <v>32318</v>
      </c>
    </row>
    <row r="447" spans="1:19">
      <c r="A447" t="s">
        <v>3230</v>
      </c>
      <c r="B447" t="s">
        <v>631</v>
      </c>
      <c r="C447" t="s">
        <v>3231</v>
      </c>
      <c r="D447" t="s">
        <v>22</v>
      </c>
      <c r="E447" t="s">
        <v>3232</v>
      </c>
      <c r="F447" t="s">
        <v>3233</v>
      </c>
      <c r="G447" t="s">
        <v>3234</v>
      </c>
      <c r="H447" t="s">
        <v>3093</v>
      </c>
      <c r="I447" t="s">
        <v>3094</v>
      </c>
      <c r="J447" s="2">
        <v>54000</v>
      </c>
      <c r="K447" s="3">
        <v>45461</v>
      </c>
      <c r="L447" t="s">
        <v>28</v>
      </c>
      <c r="M447" t="s">
        <v>3235</v>
      </c>
      <c r="N447" t="s">
        <v>30</v>
      </c>
      <c r="O447" s="2">
        <f t="shared" si="12"/>
        <v>54000</v>
      </c>
      <c r="P447" s="2">
        <f t="shared" si="13"/>
        <v>648000</v>
      </c>
      <c r="Q447" s="13" t="s">
        <v>1163</v>
      </c>
      <c r="R447" s="9" t="s">
        <v>3096</v>
      </c>
      <c r="S447" s="3">
        <v>35010</v>
      </c>
    </row>
    <row r="448" spans="1:19" ht="27.6">
      <c r="A448" t="s">
        <v>3236</v>
      </c>
      <c r="B448" t="s">
        <v>3237</v>
      </c>
      <c r="C448" t="s">
        <v>1263</v>
      </c>
      <c r="D448" t="s">
        <v>22</v>
      </c>
      <c r="E448" t="s">
        <v>3238</v>
      </c>
      <c r="F448" t="s">
        <v>3239</v>
      </c>
      <c r="G448" t="s">
        <v>3240</v>
      </c>
      <c r="H448" t="s">
        <v>3093</v>
      </c>
      <c r="I448" t="s">
        <v>3103</v>
      </c>
      <c r="J448" s="2">
        <v>85000</v>
      </c>
      <c r="K448" s="3">
        <v>45470</v>
      </c>
      <c r="L448" t="s">
        <v>28</v>
      </c>
      <c r="M448" t="s">
        <v>3241</v>
      </c>
      <c r="N448" t="s">
        <v>73</v>
      </c>
      <c r="O448" s="2">
        <f t="shared" si="12"/>
        <v>85000</v>
      </c>
      <c r="P448" s="2">
        <f t="shared" si="13"/>
        <v>1020000</v>
      </c>
      <c r="Q448" s="13" t="s">
        <v>74</v>
      </c>
      <c r="R448" s="9" t="s">
        <v>244</v>
      </c>
      <c r="S448" s="3">
        <v>37364</v>
      </c>
    </row>
    <row r="449" spans="1:19">
      <c r="A449" t="s">
        <v>3242</v>
      </c>
      <c r="B449" t="s">
        <v>3243</v>
      </c>
      <c r="C449" t="s">
        <v>3244</v>
      </c>
      <c r="D449" t="s">
        <v>22</v>
      </c>
      <c r="E449" t="s">
        <v>3245</v>
      </c>
      <c r="F449" t="s">
        <v>3246</v>
      </c>
      <c r="G449" t="s">
        <v>3247</v>
      </c>
      <c r="H449" t="s">
        <v>3093</v>
      </c>
      <c r="I449" t="s">
        <v>3111</v>
      </c>
      <c r="J449" s="2">
        <v>142000</v>
      </c>
      <c r="K449" s="3">
        <v>45479</v>
      </c>
      <c r="L449" t="s">
        <v>218</v>
      </c>
      <c r="M449" t="s">
        <v>3248</v>
      </c>
      <c r="N449" t="s">
        <v>204</v>
      </c>
      <c r="O449" s="2">
        <f t="shared" si="12"/>
        <v>142000</v>
      </c>
      <c r="P449" s="2">
        <f t="shared" si="13"/>
        <v>1704000</v>
      </c>
      <c r="Q449" s="13" t="s">
        <v>53</v>
      </c>
      <c r="R449" s="9" t="s">
        <v>54</v>
      </c>
      <c r="S449" s="3">
        <v>29465</v>
      </c>
    </row>
    <row r="450" spans="1:19" ht="27.6">
      <c r="A450" t="s">
        <v>3249</v>
      </c>
      <c r="B450" t="s">
        <v>3250</v>
      </c>
      <c r="C450" t="s">
        <v>3050</v>
      </c>
      <c r="D450" t="s">
        <v>22</v>
      </c>
      <c r="E450" t="s">
        <v>3251</v>
      </c>
      <c r="F450" t="s">
        <v>3252</v>
      </c>
      <c r="G450" t="s">
        <v>3253</v>
      </c>
      <c r="H450" t="s">
        <v>3093</v>
      </c>
      <c r="I450" t="s">
        <v>3118</v>
      </c>
      <c r="J450" s="2">
        <v>89000</v>
      </c>
      <c r="K450" s="3">
        <v>45488</v>
      </c>
      <c r="L450" t="s">
        <v>218</v>
      </c>
      <c r="M450" t="s">
        <v>3254</v>
      </c>
      <c r="N450" t="s">
        <v>52</v>
      </c>
      <c r="O450" s="2">
        <f t="shared" si="12"/>
        <v>89000</v>
      </c>
      <c r="P450" s="2">
        <f t="shared" si="13"/>
        <v>1068000</v>
      </c>
      <c r="Q450" s="13" t="s">
        <v>608</v>
      </c>
      <c r="R450" s="9" t="s">
        <v>3120</v>
      </c>
      <c r="S450" s="3">
        <v>31820</v>
      </c>
    </row>
    <row r="451" spans="1:19">
      <c r="A451" t="s">
        <v>3255</v>
      </c>
      <c r="B451" t="s">
        <v>3256</v>
      </c>
      <c r="C451" t="s">
        <v>3257</v>
      </c>
      <c r="D451" t="s">
        <v>22</v>
      </c>
      <c r="E451" t="s">
        <v>3258</v>
      </c>
      <c r="F451" t="s">
        <v>3259</v>
      </c>
      <c r="G451" t="s">
        <v>3260</v>
      </c>
      <c r="H451" t="s">
        <v>3093</v>
      </c>
      <c r="I451" t="s">
        <v>3127</v>
      </c>
      <c r="J451" s="2">
        <v>76000</v>
      </c>
      <c r="K451" s="3">
        <v>45497</v>
      </c>
      <c r="L451" t="s">
        <v>28</v>
      </c>
      <c r="M451" t="s">
        <v>3261</v>
      </c>
      <c r="N451" t="s">
        <v>82</v>
      </c>
      <c r="O451" s="2">
        <f t="shared" si="12"/>
        <v>76000</v>
      </c>
      <c r="P451" s="2">
        <f t="shared" si="13"/>
        <v>912000</v>
      </c>
      <c r="Q451" s="13" t="s">
        <v>1163</v>
      </c>
      <c r="R451" s="9" t="s">
        <v>3096</v>
      </c>
      <c r="S451" s="3">
        <v>34538</v>
      </c>
    </row>
  </sheetData>
  <conditionalFormatting sqref="L2:L451">
    <cfRule type="expression" dxfId="1" priority="1">
      <formula>L2="Inactive"</formula>
    </cfRule>
  </conditionalFormatting>
  <dataValidations count="2">
    <dataValidation type="list" sqref="D2:D451" xr:uid="{00000000-0002-0000-0000-000000000000}">
      <formula1>"Male"</formula1>
    </dataValidation>
    <dataValidation type="list" sqref="L2:L451" xr:uid="{00000000-0002-0000-0000-000001000000}">
      <formula1>"Active,Inactive"</formula1>
    </dataValidation>
  </dataValidations>
  <hyperlinks>
    <hyperlink ref="F2" r:id="rId1" xr:uid="{B8466D97-EF1F-48A0-AF8B-0523097CAB4E}"/>
  </hyperlinks>
  <pageMargins left="0.7" right="0.7" top="0.75" bottom="0.75" header="0.3" footer="0.3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000-000002000000}">
          <x14:formula1>
            <xm:f>Departments!$A$2:$A$19</xm:f>
          </x14:formula1>
          <xm:sqref>H2:H451</xm:sqref>
        </x14:dataValidation>
        <x14:dataValidation type="list" xr:uid="{00000000-0002-0000-0000-000003000000}">
          <x14:formula1>
            <xm:f>Organizations!$A$4:$A$32</xm:f>
          </x14:formula1>
          <xm:sqref>Q2:Q451</xm:sqref>
        </x14:dataValidation>
        <x14:dataValidation type="list" xr:uid="{00000000-0002-0000-0000-000004000000}">
          <x14:formula1>
            <xm:f>'Education Summary'!$A$4:$A$39</xm:f>
          </x14:formula1>
          <xm:sqref>R2:R451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"/>
  <sheetViews>
    <sheetView workbookViewId="0"/>
  </sheetViews>
  <sheetFormatPr defaultRowHeight="13.8"/>
  <cols>
    <col min="1" max="1" width="25" customWidth="1"/>
    <col min="2" max="2" width="10" customWidth="1"/>
    <col min="3" max="8" width="18" customWidth="1"/>
  </cols>
  <sheetData>
    <row r="1" spans="1:8">
      <c r="A1" s="1" t="s">
        <v>7</v>
      </c>
      <c r="B1" s="1" t="s">
        <v>3262</v>
      </c>
      <c r="C1" s="1" t="s">
        <v>3263</v>
      </c>
      <c r="D1" s="1" t="s">
        <v>3264</v>
      </c>
      <c r="E1" s="1" t="s">
        <v>3265</v>
      </c>
      <c r="F1" s="1" t="s">
        <v>3266</v>
      </c>
      <c r="G1" s="1" t="s">
        <v>3267</v>
      </c>
      <c r="H1" s="1" t="s">
        <v>3268</v>
      </c>
    </row>
    <row r="2" spans="1:8">
      <c r="A2" t="s">
        <v>26</v>
      </c>
      <c r="B2" t="s">
        <v>3269</v>
      </c>
      <c r="C2">
        <v>25</v>
      </c>
      <c r="D2">
        <f>COUNTIF(Employees!$H:$H,A2)</f>
        <v>25</v>
      </c>
      <c r="E2">
        <f>COUNTIFS(Employees!$H:$H,A2,Employees!$L:$L,"Active")</f>
        <v>23</v>
      </c>
      <c r="F2">
        <f>COUNTIFS(Employees!$H:$H,A2,Employees!$L:$L,"Inactive")</f>
        <v>2</v>
      </c>
      <c r="G2" s="2">
        <f>SUMIF(Employees!$H:$H,A2,Employees!$J:$J)</f>
        <v>1786000</v>
      </c>
      <c r="H2" s="2">
        <f t="shared" ref="H2:H19" si="0">IFERROR(G2/D2,0)</f>
        <v>71440</v>
      </c>
    </row>
    <row r="3" spans="1:8">
      <c r="A3" t="s">
        <v>233</v>
      </c>
      <c r="B3" t="s">
        <v>3270</v>
      </c>
      <c r="C3">
        <v>25</v>
      </c>
      <c r="D3">
        <f>COUNTIF(Employees!$H:$H,A3)</f>
        <v>25</v>
      </c>
      <c r="E3">
        <f>COUNTIFS(Employees!$H:$H,A3,Employees!$L:$L,"Active")</f>
        <v>23</v>
      </c>
      <c r="F3">
        <f>COUNTIFS(Employees!$H:$H,A3,Employees!$L:$L,"Inactive")</f>
        <v>2</v>
      </c>
      <c r="G3" s="2">
        <f>SUMIF(Employees!$H:$H,A3,Employees!$J:$J)</f>
        <v>3583000</v>
      </c>
      <c r="H3" s="2">
        <f t="shared" si="0"/>
        <v>143320</v>
      </c>
    </row>
    <row r="4" spans="1:8">
      <c r="A4" t="s">
        <v>415</v>
      </c>
      <c r="B4" t="s">
        <v>3271</v>
      </c>
      <c r="C4">
        <v>25</v>
      </c>
      <c r="D4">
        <f>COUNTIF(Employees!$H:$H,A4)</f>
        <v>25</v>
      </c>
      <c r="E4">
        <f>COUNTIFS(Employees!$H:$H,A4,Employees!$L:$L,"Active")</f>
        <v>25</v>
      </c>
      <c r="F4">
        <f>COUNTIFS(Employees!$H:$H,A4,Employees!$L:$L,"Inactive")</f>
        <v>0</v>
      </c>
      <c r="G4" s="2">
        <f>SUMIF(Employees!$H:$H,A4,Employees!$J:$J)</f>
        <v>1884000</v>
      </c>
      <c r="H4" s="2">
        <f t="shared" si="0"/>
        <v>75360</v>
      </c>
    </row>
    <row r="5" spans="1:8">
      <c r="A5" t="s">
        <v>597</v>
      </c>
      <c r="B5" t="s">
        <v>3272</v>
      </c>
      <c r="C5">
        <v>25</v>
      </c>
      <c r="D5">
        <f>COUNTIF(Employees!$H:$H,A5)</f>
        <v>25</v>
      </c>
      <c r="E5">
        <f>COUNTIFS(Employees!$H:$H,A5,Employees!$L:$L,"Active")</f>
        <v>24</v>
      </c>
      <c r="F5">
        <f>COUNTIFS(Employees!$H:$H,A5,Employees!$L:$L,"Inactive")</f>
        <v>1</v>
      </c>
      <c r="G5" s="2">
        <f>SUMIF(Employees!$H:$H,A5,Employees!$J:$J)</f>
        <v>2059000</v>
      </c>
      <c r="H5" s="2">
        <f t="shared" si="0"/>
        <v>82360</v>
      </c>
    </row>
    <row r="6" spans="1:8">
      <c r="A6" t="s">
        <v>781</v>
      </c>
      <c r="B6" t="s">
        <v>3273</v>
      </c>
      <c r="C6">
        <v>25</v>
      </c>
      <c r="D6">
        <f>COUNTIF(Employees!$H:$H,A6)</f>
        <v>25</v>
      </c>
      <c r="E6">
        <f>COUNTIFS(Employees!$H:$H,A6,Employees!$L:$L,"Active")</f>
        <v>23</v>
      </c>
      <c r="F6">
        <f>COUNTIFS(Employees!$H:$H,A6,Employees!$L:$L,"Inactive")</f>
        <v>2</v>
      </c>
      <c r="G6" s="2">
        <f>SUMIF(Employees!$H:$H,A6,Employees!$J:$J)</f>
        <v>1828000</v>
      </c>
      <c r="H6" s="2">
        <f t="shared" si="0"/>
        <v>73120</v>
      </c>
    </row>
    <row r="7" spans="1:8">
      <c r="A7" t="s">
        <v>961</v>
      </c>
      <c r="B7" t="s">
        <v>3274</v>
      </c>
      <c r="C7">
        <v>25</v>
      </c>
      <c r="D7">
        <f>COUNTIF(Employees!$H:$H,A7)</f>
        <v>25</v>
      </c>
      <c r="E7">
        <f>COUNTIFS(Employees!$H:$H,A7,Employees!$L:$L,"Active")</f>
        <v>23</v>
      </c>
      <c r="F7">
        <f>COUNTIFS(Employees!$H:$H,A7,Employees!$L:$L,"Inactive")</f>
        <v>2</v>
      </c>
      <c r="G7" s="2">
        <f>SUMIF(Employees!$H:$H,A7,Employees!$J:$J)</f>
        <v>1368000</v>
      </c>
      <c r="H7" s="2">
        <f t="shared" si="0"/>
        <v>54720</v>
      </c>
    </row>
    <row r="8" spans="1:8">
      <c r="A8" t="s">
        <v>1143</v>
      </c>
      <c r="B8" t="s">
        <v>3275</v>
      </c>
      <c r="C8">
        <v>25</v>
      </c>
      <c r="D8">
        <f>COUNTIF(Employees!$H:$H,A8)</f>
        <v>25</v>
      </c>
      <c r="E8">
        <f>COUNTIFS(Employees!$H:$H,A8,Employees!$L:$L,"Active")</f>
        <v>24</v>
      </c>
      <c r="F8">
        <f>COUNTIFS(Employees!$H:$H,A8,Employees!$L:$L,"Inactive")</f>
        <v>1</v>
      </c>
      <c r="G8" s="2">
        <f>SUMIF(Employees!$H:$H,A8,Employees!$J:$J)</f>
        <v>1920000</v>
      </c>
      <c r="H8" s="2">
        <f t="shared" si="0"/>
        <v>76800</v>
      </c>
    </row>
    <row r="9" spans="1:8">
      <c r="A9" t="s">
        <v>1321</v>
      </c>
      <c r="B9" t="s">
        <v>3276</v>
      </c>
      <c r="C9">
        <v>25</v>
      </c>
      <c r="D9">
        <f>COUNTIF(Employees!$H:$H,A9)</f>
        <v>25</v>
      </c>
      <c r="E9">
        <f>COUNTIFS(Employees!$H:$H,A9,Employees!$L:$L,"Active")</f>
        <v>24</v>
      </c>
      <c r="F9">
        <f>COUNTIFS(Employees!$H:$H,A9,Employees!$L:$L,"Inactive")</f>
        <v>1</v>
      </c>
      <c r="G9" s="2">
        <f>SUMIF(Employees!$H:$H,A9,Employees!$J:$J)</f>
        <v>1179000</v>
      </c>
      <c r="H9" s="2">
        <f t="shared" si="0"/>
        <v>47160</v>
      </c>
    </row>
    <row r="10" spans="1:8">
      <c r="A10" t="s">
        <v>1500</v>
      </c>
      <c r="B10" t="s">
        <v>3277</v>
      </c>
      <c r="C10">
        <v>25</v>
      </c>
      <c r="D10">
        <f>COUNTIF(Employees!$H:$H,A10)</f>
        <v>25</v>
      </c>
      <c r="E10">
        <f>COUNTIFS(Employees!$H:$H,A10,Employees!$L:$L,"Active")</f>
        <v>22</v>
      </c>
      <c r="F10">
        <f>COUNTIFS(Employees!$H:$H,A10,Employees!$L:$L,"Inactive")</f>
        <v>3</v>
      </c>
      <c r="G10" s="2">
        <f>SUMIF(Employees!$H:$H,A10,Employees!$J:$J)</f>
        <v>1446000</v>
      </c>
      <c r="H10" s="2">
        <f t="shared" si="0"/>
        <v>57840</v>
      </c>
    </row>
    <row r="11" spans="1:8">
      <c r="A11" t="s">
        <v>1677</v>
      </c>
      <c r="B11" t="s">
        <v>3278</v>
      </c>
      <c r="C11">
        <v>25</v>
      </c>
      <c r="D11">
        <f>COUNTIF(Employees!$H:$H,A11)</f>
        <v>25</v>
      </c>
      <c r="E11">
        <f>COUNTIFS(Employees!$H:$H,A11,Employees!$L:$L,"Active")</f>
        <v>25</v>
      </c>
      <c r="F11">
        <f>COUNTIFS(Employees!$H:$H,A11,Employees!$L:$L,"Inactive")</f>
        <v>0</v>
      </c>
      <c r="G11" s="2">
        <f>SUMIF(Employees!$H:$H,A11,Employees!$J:$J)</f>
        <v>2055000</v>
      </c>
      <c r="H11" s="2">
        <f t="shared" si="0"/>
        <v>82200</v>
      </c>
    </row>
    <row r="12" spans="1:8">
      <c r="A12" t="s">
        <v>1858</v>
      </c>
      <c r="B12" t="s">
        <v>3279</v>
      </c>
      <c r="C12">
        <v>25</v>
      </c>
      <c r="D12">
        <f>COUNTIF(Employees!$H:$H,A12)</f>
        <v>25</v>
      </c>
      <c r="E12">
        <f>COUNTIFS(Employees!$H:$H,A12,Employees!$L:$L,"Active")</f>
        <v>23</v>
      </c>
      <c r="F12">
        <f>COUNTIFS(Employees!$H:$H,A12,Employees!$L:$L,"Inactive")</f>
        <v>2</v>
      </c>
      <c r="G12" s="2">
        <f>SUMIF(Employees!$H:$H,A12,Employees!$J:$J)</f>
        <v>2764000</v>
      </c>
      <c r="H12" s="2">
        <f t="shared" si="0"/>
        <v>110560</v>
      </c>
    </row>
    <row r="13" spans="1:8">
      <c r="A13" t="s">
        <v>2036</v>
      </c>
      <c r="B13" t="s">
        <v>3280</v>
      </c>
      <c r="C13">
        <v>25</v>
      </c>
      <c r="D13">
        <f>COUNTIF(Employees!$H:$H,A13)</f>
        <v>25</v>
      </c>
      <c r="E13">
        <f>COUNTIFS(Employees!$H:$H,A13,Employees!$L:$L,"Active")</f>
        <v>22</v>
      </c>
      <c r="F13">
        <f>COUNTIFS(Employees!$H:$H,A13,Employees!$L:$L,"Inactive")</f>
        <v>3</v>
      </c>
      <c r="G13" s="2">
        <f>SUMIF(Employees!$H:$H,A13,Employees!$J:$J)</f>
        <v>2454000</v>
      </c>
      <c r="H13" s="2">
        <f t="shared" si="0"/>
        <v>98160</v>
      </c>
    </row>
    <row r="14" spans="1:8">
      <c r="A14" t="s">
        <v>2212</v>
      </c>
      <c r="B14" t="s">
        <v>3281</v>
      </c>
      <c r="C14">
        <v>25</v>
      </c>
      <c r="D14">
        <f>COUNTIF(Employees!$H:$H,A14)</f>
        <v>25</v>
      </c>
      <c r="E14">
        <f>COUNTIFS(Employees!$H:$H,A14,Employees!$L:$L,"Active")</f>
        <v>24</v>
      </c>
      <c r="F14">
        <f>COUNTIFS(Employees!$H:$H,A14,Employees!$L:$L,"Inactive")</f>
        <v>1</v>
      </c>
      <c r="G14" s="2">
        <f>SUMIF(Employees!$H:$H,A14,Employees!$J:$J)</f>
        <v>1855000</v>
      </c>
      <c r="H14" s="2">
        <f t="shared" si="0"/>
        <v>74200</v>
      </c>
    </row>
    <row r="15" spans="1:8">
      <c r="A15" t="s">
        <v>2389</v>
      </c>
      <c r="B15" t="s">
        <v>3282</v>
      </c>
      <c r="C15">
        <v>25</v>
      </c>
      <c r="D15">
        <f>COUNTIF(Employees!$H:$H,A15)</f>
        <v>25</v>
      </c>
      <c r="E15">
        <f>COUNTIFS(Employees!$H:$H,A15,Employees!$L:$L,"Active")</f>
        <v>24</v>
      </c>
      <c r="F15">
        <f>COUNTIFS(Employees!$H:$H,A15,Employees!$L:$L,"Inactive")</f>
        <v>1</v>
      </c>
      <c r="G15" s="2">
        <f>SUMIF(Employees!$H:$H,A15,Employees!$J:$J)</f>
        <v>3093000</v>
      </c>
      <c r="H15" s="2">
        <f t="shared" si="0"/>
        <v>123720</v>
      </c>
    </row>
    <row r="16" spans="1:8">
      <c r="A16" t="s">
        <v>2570</v>
      </c>
      <c r="B16" t="s">
        <v>3283</v>
      </c>
      <c r="C16">
        <v>25</v>
      </c>
      <c r="D16">
        <f>COUNTIF(Employees!$H:$H,A16)</f>
        <v>25</v>
      </c>
      <c r="E16">
        <f>COUNTIFS(Employees!$H:$H,A16,Employees!$L:$L,"Active")</f>
        <v>23</v>
      </c>
      <c r="F16">
        <f>COUNTIFS(Employees!$H:$H,A16,Employees!$L:$L,"Inactive")</f>
        <v>2</v>
      </c>
      <c r="G16" s="2">
        <f>SUMIF(Employees!$H:$H,A16,Employees!$J:$J)</f>
        <v>2897000</v>
      </c>
      <c r="H16" s="2">
        <f t="shared" si="0"/>
        <v>115880</v>
      </c>
    </row>
    <row r="17" spans="1:8">
      <c r="A17" t="s">
        <v>2744</v>
      </c>
      <c r="B17" t="s">
        <v>3284</v>
      </c>
      <c r="C17">
        <v>25</v>
      </c>
      <c r="D17">
        <f>COUNTIF(Employees!$H:$H,A17)</f>
        <v>25</v>
      </c>
      <c r="E17">
        <f>COUNTIFS(Employees!$H:$H,A17,Employees!$L:$L,"Active")</f>
        <v>23</v>
      </c>
      <c r="F17">
        <f>COUNTIFS(Employees!$H:$H,A17,Employees!$L:$L,"Inactive")</f>
        <v>2</v>
      </c>
      <c r="G17" s="2">
        <f>SUMIF(Employees!$H:$H,A17,Employees!$J:$J)</f>
        <v>1642000</v>
      </c>
      <c r="H17" s="2">
        <f t="shared" si="0"/>
        <v>65680</v>
      </c>
    </row>
    <row r="18" spans="1:8">
      <c r="A18" t="s">
        <v>2920</v>
      </c>
      <c r="B18" t="s">
        <v>3285</v>
      </c>
      <c r="C18">
        <v>25</v>
      </c>
      <c r="D18">
        <f>COUNTIF(Employees!$H:$H,A18)</f>
        <v>25</v>
      </c>
      <c r="E18">
        <f>COUNTIFS(Employees!$H:$H,A18,Employees!$L:$L,"Active")</f>
        <v>25</v>
      </c>
      <c r="F18">
        <f>COUNTIFS(Employees!$H:$H,A18,Employees!$L:$L,"Inactive")</f>
        <v>0</v>
      </c>
      <c r="G18" s="2">
        <f>SUMIF(Employees!$H:$H,A18,Employees!$J:$J)</f>
        <v>1507000</v>
      </c>
      <c r="H18" s="2">
        <f t="shared" si="0"/>
        <v>60280</v>
      </c>
    </row>
    <row r="19" spans="1:8">
      <c r="A19" t="s">
        <v>3093</v>
      </c>
      <c r="B19" t="s">
        <v>3286</v>
      </c>
      <c r="C19">
        <v>25</v>
      </c>
      <c r="D19">
        <f>COUNTIF(Employees!$H:$H,A19)</f>
        <v>25</v>
      </c>
      <c r="E19">
        <f>COUNTIFS(Employees!$H:$H,A19,Employees!$L:$L,"Active")</f>
        <v>23</v>
      </c>
      <c r="F19">
        <f>COUNTIFS(Employees!$H:$H,A19,Employees!$L:$L,"Inactive")</f>
        <v>2</v>
      </c>
      <c r="G19" s="2">
        <f>SUMIF(Employees!$H:$H,A19,Employees!$J:$J)</f>
        <v>2203000</v>
      </c>
      <c r="H19" s="2">
        <f t="shared" si="0"/>
        <v>88120</v>
      </c>
    </row>
  </sheetData>
  <conditionalFormatting sqref="D2:D19">
    <cfRule type="cellIs" dxfId="0" priority="1" operator="notEqual">
      <formula>25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0"/>
  <sheetViews>
    <sheetView workbookViewId="0"/>
  </sheetViews>
  <sheetFormatPr defaultRowHeight="13.8"/>
  <cols>
    <col min="1" max="1" width="28" customWidth="1"/>
    <col min="2" max="2" width="18" customWidth="1"/>
    <col min="3" max="3" width="30" customWidth="1"/>
  </cols>
  <sheetData>
    <row r="1" spans="1:4">
      <c r="A1" s="18" t="s">
        <v>3287</v>
      </c>
      <c r="B1" s="19"/>
      <c r="C1" s="19"/>
      <c r="D1" s="19"/>
    </row>
    <row r="2" spans="1:4">
      <c r="A2" s="5" t="s">
        <v>3288</v>
      </c>
      <c r="B2" s="5" t="s">
        <v>3289</v>
      </c>
      <c r="C2" s="5" t="s">
        <v>3290</v>
      </c>
      <c r="D2" s="4"/>
    </row>
    <row r="3" spans="1:4">
      <c r="A3" s="4" t="s">
        <v>3291</v>
      </c>
      <c r="B3" s="4">
        <v>18</v>
      </c>
      <c r="C3" s="4" t="s">
        <v>3292</v>
      </c>
      <c r="D3" s="4"/>
    </row>
    <row r="4" spans="1:4">
      <c r="A4" s="4" t="s">
        <v>3293</v>
      </c>
      <c r="B4" s="4">
        <v>25</v>
      </c>
      <c r="C4" s="4" t="s">
        <v>3294</v>
      </c>
      <c r="D4" s="4"/>
    </row>
    <row r="5" spans="1:4">
      <c r="A5" s="4" t="s">
        <v>3295</v>
      </c>
      <c r="B5" s="4">
        <f>COUNTA(Employees!A2:A451)</f>
        <v>450</v>
      </c>
      <c r="C5" s="4">
        <f>COUNTA(Employees!A2:A451)</f>
        <v>450</v>
      </c>
      <c r="D5" s="4"/>
    </row>
    <row r="6" spans="1:4">
      <c r="A6" s="4" t="s">
        <v>3296</v>
      </c>
      <c r="B6" s="4">
        <f>COUNTIF(Employees!D:D,"Male")</f>
        <v>450</v>
      </c>
      <c r="C6" s="4">
        <f>COUNTIF(Employees!D:D,"Male")</f>
        <v>450</v>
      </c>
      <c r="D6" s="4"/>
    </row>
    <row r="7" spans="1:4">
      <c r="A7" s="4" t="s">
        <v>3265</v>
      </c>
      <c r="B7" s="6">
        <f>COUNTIF(Employees!L:L,"Active")</f>
        <v>423</v>
      </c>
      <c r="C7" s="4">
        <f>COUNTIF(Employees!L:L,"Active")</f>
        <v>423</v>
      </c>
      <c r="D7" s="4"/>
    </row>
    <row r="8" spans="1:4">
      <c r="A8" s="4" t="s">
        <v>3297</v>
      </c>
      <c r="B8" s="6">
        <f>SUM(Employees!J:J)</f>
        <v>37523000</v>
      </c>
      <c r="C8" s="4">
        <f>SUM(Employees!J:J)</f>
        <v>37523000</v>
      </c>
      <c r="D8" s="4"/>
    </row>
    <row r="9" spans="1:4">
      <c r="A9" s="4" t="s">
        <v>3268</v>
      </c>
      <c r="B9" s="6">
        <f>AVERAGE(Employees!J:J)</f>
        <v>83384.444444444438</v>
      </c>
      <c r="C9" s="4">
        <f>AVERAGE(Employees!J:J)</f>
        <v>83384.444444444438</v>
      </c>
      <c r="D9" s="4"/>
    </row>
    <row r="10" spans="1:4">
      <c r="A10" s="4"/>
      <c r="B10" s="4"/>
      <c r="C10" s="4"/>
      <c r="D10" s="4"/>
    </row>
    <row r="11" spans="1:4">
      <c r="A11" s="4"/>
      <c r="B11" s="4"/>
      <c r="C11" s="4"/>
      <c r="D11" s="4"/>
    </row>
    <row r="12" spans="1:4">
      <c r="A12" s="5" t="s">
        <v>7</v>
      </c>
      <c r="B12" s="5" t="s">
        <v>3298</v>
      </c>
      <c r="C12" s="4"/>
      <c r="D12" s="4"/>
    </row>
    <row r="13" spans="1:4">
      <c r="A13" s="4" t="s">
        <v>26</v>
      </c>
      <c r="B13" s="4">
        <v>25</v>
      </c>
      <c r="C13" s="4"/>
      <c r="D13" s="4"/>
    </row>
    <row r="14" spans="1:4">
      <c r="A14" s="4" t="s">
        <v>233</v>
      </c>
      <c r="B14" s="4">
        <v>25</v>
      </c>
      <c r="C14" s="4"/>
      <c r="D14" s="4"/>
    </row>
    <row r="15" spans="1:4">
      <c r="A15" s="4" t="s">
        <v>415</v>
      </c>
      <c r="B15" s="4">
        <v>25</v>
      </c>
      <c r="C15" s="4"/>
      <c r="D15" s="4"/>
    </row>
    <row r="16" spans="1:4">
      <c r="A16" s="4" t="s">
        <v>597</v>
      </c>
      <c r="B16" s="4">
        <v>25</v>
      </c>
      <c r="C16" s="4"/>
      <c r="D16" s="4"/>
    </row>
    <row r="17" spans="1:4">
      <c r="A17" s="4" t="s">
        <v>781</v>
      </c>
      <c r="B17" s="4">
        <v>25</v>
      </c>
      <c r="C17" s="4"/>
      <c r="D17" s="4"/>
    </row>
    <row r="18" spans="1:4">
      <c r="A18" s="4" t="s">
        <v>961</v>
      </c>
      <c r="B18" s="4">
        <v>25</v>
      </c>
      <c r="C18" s="4"/>
      <c r="D18" s="4"/>
    </row>
    <row r="19" spans="1:4">
      <c r="A19" s="4" t="s">
        <v>1143</v>
      </c>
      <c r="B19" s="4">
        <v>25</v>
      </c>
      <c r="C19" s="4"/>
      <c r="D19" s="4"/>
    </row>
    <row r="20" spans="1:4">
      <c r="A20" s="4" t="s">
        <v>1321</v>
      </c>
      <c r="B20" s="4">
        <v>25</v>
      </c>
      <c r="C20" s="4"/>
      <c r="D20" s="4"/>
    </row>
    <row r="21" spans="1:4">
      <c r="A21" s="4" t="s">
        <v>1500</v>
      </c>
      <c r="B21" s="4">
        <v>25</v>
      </c>
      <c r="C21" s="4"/>
      <c r="D21" s="4"/>
    </row>
    <row r="22" spans="1:4">
      <c r="A22" s="4" t="s">
        <v>1677</v>
      </c>
      <c r="B22" s="4">
        <v>25</v>
      </c>
      <c r="C22" s="4"/>
      <c r="D22" s="4"/>
    </row>
    <row r="23" spans="1:4">
      <c r="A23" s="4" t="s">
        <v>1858</v>
      </c>
      <c r="B23" s="4">
        <v>25</v>
      </c>
      <c r="C23" s="4"/>
      <c r="D23" s="4"/>
    </row>
    <row r="24" spans="1:4">
      <c r="A24" s="4" t="s">
        <v>2036</v>
      </c>
      <c r="B24" s="4">
        <v>25</v>
      </c>
      <c r="C24" s="4"/>
      <c r="D24" s="4"/>
    </row>
    <row r="25" spans="1:4">
      <c r="A25" s="4" t="s">
        <v>2212</v>
      </c>
      <c r="B25" s="4">
        <v>25</v>
      </c>
      <c r="C25" s="4"/>
      <c r="D25" s="4"/>
    </row>
    <row r="26" spans="1:4">
      <c r="A26" s="4" t="s">
        <v>2389</v>
      </c>
      <c r="B26" s="4">
        <v>25</v>
      </c>
      <c r="C26" s="4"/>
      <c r="D26" s="4"/>
    </row>
    <row r="27" spans="1:4">
      <c r="A27" s="4" t="s">
        <v>2570</v>
      </c>
      <c r="B27" s="4">
        <v>25</v>
      </c>
      <c r="C27" s="4"/>
      <c r="D27" s="4"/>
    </row>
    <row r="28" spans="1:4">
      <c r="A28" s="4" t="s">
        <v>2744</v>
      </c>
      <c r="B28" s="4">
        <v>25</v>
      </c>
      <c r="C28" s="4"/>
      <c r="D28" s="4"/>
    </row>
    <row r="29" spans="1:4">
      <c r="A29" s="4" t="s">
        <v>2920</v>
      </c>
      <c r="B29" s="4">
        <v>25</v>
      </c>
      <c r="C29" s="4"/>
      <c r="D29" s="4"/>
    </row>
    <row r="30" spans="1:4">
      <c r="A30" s="4" t="s">
        <v>3093</v>
      </c>
      <c r="B30" s="4">
        <v>25</v>
      </c>
      <c r="C30" s="4"/>
      <c r="D30" s="4"/>
    </row>
  </sheetData>
  <mergeCells count="1">
    <mergeCell ref="A1:D1"/>
  </mergeCell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/>
  </sheetViews>
  <sheetFormatPr defaultRowHeight="13.8"/>
  <cols>
    <col min="1" max="1" width="12" customWidth="1"/>
    <col min="2" max="2" width="95" customWidth="1"/>
  </cols>
  <sheetData>
    <row r="1" spans="1:2">
      <c r="A1" s="18" t="s">
        <v>3299</v>
      </c>
      <c r="B1" s="19"/>
    </row>
    <row r="2" spans="1:2">
      <c r="A2" s="4" t="s">
        <v>3300</v>
      </c>
      <c r="B2" s="4" t="s">
        <v>3301</v>
      </c>
    </row>
    <row r="3" spans="1:2">
      <c r="A3" s="4" t="s">
        <v>3302</v>
      </c>
      <c r="B3" s="4" t="s">
        <v>3303</v>
      </c>
    </row>
    <row r="4" spans="1:2" ht="27.6">
      <c r="A4" s="4" t="s">
        <v>3304</v>
      </c>
      <c r="B4" s="4" t="s">
        <v>3305</v>
      </c>
    </row>
    <row r="5" spans="1:2" ht="27.6">
      <c r="A5" s="4" t="s">
        <v>3306</v>
      </c>
      <c r="B5" s="4" t="s">
        <v>3307</v>
      </c>
    </row>
    <row r="6" spans="1:2">
      <c r="A6" s="4" t="s">
        <v>3308</v>
      </c>
      <c r="B6" s="4" t="s">
        <v>3309</v>
      </c>
    </row>
    <row r="7" spans="1:2" ht="27.6">
      <c r="A7" s="4" t="s">
        <v>3310</v>
      </c>
      <c r="B7" s="4" t="s">
        <v>3311</v>
      </c>
    </row>
    <row r="8" spans="1:2" ht="27.6">
      <c r="A8" s="11" t="s">
        <v>3312</v>
      </c>
      <c r="B8" s="11" t="s">
        <v>3313</v>
      </c>
    </row>
    <row r="9" spans="1:2" ht="27.6">
      <c r="A9" s="11" t="s">
        <v>3314</v>
      </c>
      <c r="B9" s="11" t="s">
        <v>3315</v>
      </c>
    </row>
    <row r="10" spans="1:2" ht="27.6">
      <c r="A10" s="11" t="s">
        <v>3316</v>
      </c>
      <c r="B10" s="11" t="s">
        <v>3317</v>
      </c>
    </row>
    <row r="11" spans="1:2">
      <c r="A11" s="4" t="s">
        <v>3318</v>
      </c>
      <c r="B11" s="4" t="s">
        <v>3319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2"/>
  <sheetViews>
    <sheetView topLeftCell="A25" workbookViewId="0">
      <selection activeCell="A30" sqref="A30"/>
    </sheetView>
  </sheetViews>
  <sheetFormatPr defaultRowHeight="13.8"/>
  <cols>
    <col min="1" max="1" width="34" customWidth="1"/>
    <col min="2" max="2" width="44" customWidth="1"/>
    <col min="3" max="3" width="16" customWidth="1"/>
  </cols>
  <sheetData>
    <row r="1" spans="1:3" ht="17.399999999999999">
      <c r="A1" s="20" t="s">
        <v>3320</v>
      </c>
      <c r="B1" s="20"/>
      <c r="C1" s="21"/>
    </row>
    <row r="3" spans="1:3">
      <c r="A3" s="12" t="s">
        <v>16</v>
      </c>
      <c r="B3" s="12" t="s">
        <v>3321</v>
      </c>
      <c r="C3" s="12" t="s">
        <v>3298</v>
      </c>
    </row>
    <row r="4" spans="1:3">
      <c r="A4" s="10" t="s">
        <v>1869</v>
      </c>
      <c r="B4" s="10" t="s">
        <v>1870</v>
      </c>
      <c r="C4" s="14">
        <f>COUNTIF(Employees!$Q$2:$Q$451,A4)</f>
        <v>6</v>
      </c>
    </row>
    <row r="5" spans="1:3">
      <c r="A5" s="10" t="s">
        <v>53</v>
      </c>
      <c r="B5" s="10" t="s">
        <v>3322</v>
      </c>
      <c r="C5" s="14">
        <f>COUNTIF(Employees!$Q$2:$Q$451,A5)</f>
        <v>20</v>
      </c>
    </row>
    <row r="6" spans="1:3" ht="55.2">
      <c r="A6" s="10" t="s">
        <v>107</v>
      </c>
      <c r="B6" s="10" t="s">
        <v>3323</v>
      </c>
      <c r="C6" s="14">
        <f>COUNTIF(Employees!$Q$2:$Q$451,A6)</f>
        <v>27</v>
      </c>
    </row>
    <row r="7" spans="1:3">
      <c r="A7" s="10" t="s">
        <v>2392</v>
      </c>
      <c r="B7" s="10" t="s">
        <v>2393</v>
      </c>
      <c r="C7" s="14">
        <f>COUNTIF(Employees!$Q$2:$Q$451,A7)</f>
        <v>7</v>
      </c>
    </row>
    <row r="8" spans="1:3">
      <c r="A8" s="10" t="s">
        <v>90</v>
      </c>
      <c r="B8" s="10" t="s">
        <v>3322</v>
      </c>
      <c r="C8" s="14">
        <f>COUNTIF(Employees!$Q$2:$Q$451,A8)</f>
        <v>18</v>
      </c>
    </row>
    <row r="9" spans="1:3">
      <c r="A9" s="4" t="s">
        <v>2597</v>
      </c>
      <c r="B9" s="4" t="s">
        <v>3324</v>
      </c>
      <c r="C9" s="15">
        <f>COUNTIF(Employees!$Q$2:$Q$451,A9)</f>
        <v>12</v>
      </c>
    </row>
    <row r="10" spans="1:3">
      <c r="A10" s="4" t="s">
        <v>63</v>
      </c>
      <c r="B10" s="4" t="s">
        <v>64</v>
      </c>
      <c r="C10" s="15">
        <f>COUNTIF(Employees!$Q$2:$Q$451,A10)</f>
        <v>6</v>
      </c>
    </row>
    <row r="11" spans="1:3" ht="27.6">
      <c r="A11" s="4" t="s">
        <v>618</v>
      </c>
      <c r="B11" s="4" t="s">
        <v>3325</v>
      </c>
      <c r="C11" s="15">
        <f>COUNTIF(Employees!$Q$2:$Q$451,A11)</f>
        <v>33</v>
      </c>
    </row>
    <row r="12" spans="1:3" ht="27.6">
      <c r="A12" s="4" t="s">
        <v>182</v>
      </c>
      <c r="B12" s="4" t="s">
        <v>3322</v>
      </c>
      <c r="C12" s="15">
        <f>COUNTIF(Employees!$Q$2:$Q$451,A12)</f>
        <v>21</v>
      </c>
    </row>
    <row r="13" spans="1:3">
      <c r="A13" s="4" t="s">
        <v>42</v>
      </c>
      <c r="B13" s="4" t="s">
        <v>43</v>
      </c>
      <c r="C13" s="15">
        <f>COUNTIF(Employees!$Q$2:$Q$451,A13)</f>
        <v>12</v>
      </c>
    </row>
    <row r="14" spans="1:3" ht="55.2">
      <c r="A14" s="4" t="s">
        <v>31</v>
      </c>
      <c r="B14" s="4" t="s">
        <v>3323</v>
      </c>
      <c r="C14" s="15">
        <f>COUNTIF(Employees!$Q$2:$Q$451,A14)</f>
        <v>29</v>
      </c>
    </row>
    <row r="15" spans="1:3" ht="27.6">
      <c r="A15" s="4" t="s">
        <v>608</v>
      </c>
      <c r="B15" s="4" t="s">
        <v>3326</v>
      </c>
      <c r="C15" s="15">
        <f>COUNTIF(Employees!$Q$2:$Q$451,A15)</f>
        <v>26</v>
      </c>
    </row>
    <row r="16" spans="1:3" ht="55.2">
      <c r="A16" s="4" t="s">
        <v>137</v>
      </c>
      <c r="B16" s="4" t="s">
        <v>3323</v>
      </c>
      <c r="C16" s="15">
        <f>COUNTIF(Employees!$Q$2:$Q$451,A16)</f>
        <v>28</v>
      </c>
    </row>
    <row r="17" spans="1:3" ht="55.2">
      <c r="A17" s="4" t="s">
        <v>167</v>
      </c>
      <c r="B17" s="4" t="s">
        <v>3323</v>
      </c>
      <c r="C17" s="15">
        <f>COUNTIF(Employees!$Q$2:$Q$451,A17)</f>
        <v>24</v>
      </c>
    </row>
    <row r="18" spans="1:3" ht="27.6">
      <c r="A18" s="4" t="s">
        <v>418</v>
      </c>
      <c r="B18" s="4" t="s">
        <v>43</v>
      </c>
      <c r="C18" s="15">
        <f>COUNTIF(Employees!$Q$2:$Q$451,A18)</f>
        <v>7</v>
      </c>
    </row>
    <row r="19" spans="1:3" ht="27.6">
      <c r="A19" s="4" t="s">
        <v>2402</v>
      </c>
      <c r="B19" s="4" t="s">
        <v>3327</v>
      </c>
      <c r="C19" s="15">
        <f>COUNTIF(Employees!$Q$2:$Q$451,A19)</f>
        <v>12</v>
      </c>
    </row>
    <row r="20" spans="1:3" ht="27.6">
      <c r="A20" s="4" t="s">
        <v>972</v>
      </c>
      <c r="B20" s="4" t="s">
        <v>3328</v>
      </c>
      <c r="C20" s="15">
        <f>COUNTIF(Employees!$Q$2:$Q$451,A20)</f>
        <v>12</v>
      </c>
    </row>
    <row r="21" spans="1:3">
      <c r="A21" s="4" t="s">
        <v>1689</v>
      </c>
      <c r="B21" s="4" t="s">
        <v>1690</v>
      </c>
      <c r="C21" s="15">
        <f>COUNTIF(Employees!$Q$2:$Q$451,A21)</f>
        <v>6</v>
      </c>
    </row>
    <row r="22" spans="1:3">
      <c r="A22" s="4" t="s">
        <v>792</v>
      </c>
      <c r="B22" s="4" t="s">
        <v>793</v>
      </c>
      <c r="C22" s="15">
        <f>COUNTIF(Employees!$Q$2:$Q$451,A22)</f>
        <v>12</v>
      </c>
    </row>
    <row r="23" spans="1:3" ht="27.6">
      <c r="A23" s="4" t="s">
        <v>627</v>
      </c>
      <c r="B23" s="4" t="s">
        <v>3329</v>
      </c>
      <c r="C23" s="15">
        <f>COUNTIF(Employees!$Q$2:$Q$451,A23)</f>
        <v>8</v>
      </c>
    </row>
    <row r="24" spans="1:3">
      <c r="A24" s="4" t="s">
        <v>152</v>
      </c>
      <c r="B24" s="4" t="s">
        <v>3322</v>
      </c>
      <c r="C24" s="15">
        <f>COUNTIF(Employees!$Q$2:$Q$451,A24)</f>
        <v>20</v>
      </c>
    </row>
    <row r="25" spans="1:3" ht="27.6">
      <c r="A25" s="4" t="s">
        <v>2947</v>
      </c>
      <c r="B25" s="4" t="s">
        <v>2948</v>
      </c>
      <c r="C25" s="15">
        <f>COUNTIF(Employees!$Q$2:$Q$451,A25)</f>
        <v>6</v>
      </c>
    </row>
    <row r="26" spans="1:3" ht="27.6">
      <c r="A26" s="4" t="s">
        <v>2420</v>
      </c>
      <c r="B26" s="4" t="s">
        <v>2421</v>
      </c>
      <c r="C26" s="15">
        <f>COUNTIF(Employees!$Q$2:$Q$451,A26)</f>
        <v>6</v>
      </c>
    </row>
    <row r="27" spans="1:3" ht="27.6">
      <c r="A27" s="4" t="s">
        <v>981</v>
      </c>
      <c r="B27" s="4" t="s">
        <v>3330</v>
      </c>
      <c r="C27" s="15">
        <f>COUNTIF(Employees!$Q$2:$Q$451,A27)</f>
        <v>8</v>
      </c>
    </row>
    <row r="28" spans="1:3">
      <c r="A28" s="4" t="s">
        <v>122</v>
      </c>
      <c r="B28" s="4" t="s">
        <v>3322</v>
      </c>
      <c r="C28" s="15">
        <f>COUNTIF(Employees!$Q$2:$Q$451,A28)</f>
        <v>16</v>
      </c>
    </row>
    <row r="29" spans="1:3" ht="27.6">
      <c r="A29" s="4" t="s">
        <v>1163</v>
      </c>
      <c r="B29" s="4" t="s">
        <v>3331</v>
      </c>
      <c r="C29" s="15">
        <f>COUNTIF(Employees!$Q$2:$Q$451,A29)</f>
        <v>15</v>
      </c>
    </row>
    <row r="30" spans="1:3">
      <c r="A30" s="4" t="s">
        <v>2055</v>
      </c>
      <c r="B30" s="4" t="s">
        <v>3332</v>
      </c>
      <c r="C30" s="15">
        <f>COUNTIF(Employees!$Q$2:$Q$451,A30)</f>
        <v>12</v>
      </c>
    </row>
    <row r="31" spans="1:3" ht="55.2">
      <c r="A31" s="4" t="s">
        <v>74</v>
      </c>
      <c r="B31" s="4" t="s">
        <v>3323</v>
      </c>
      <c r="C31" s="15">
        <f>COUNTIF(Employees!$Q$2:$Q$451,A31)</f>
        <v>29</v>
      </c>
    </row>
    <row r="32" spans="1:3">
      <c r="A32" s="4" t="s">
        <v>1707</v>
      </c>
      <c r="B32" s="4" t="s">
        <v>43</v>
      </c>
      <c r="C32" s="15">
        <f>COUNTIF(Employees!$Q$2:$Q$451,A32)</f>
        <v>12</v>
      </c>
    </row>
  </sheetData>
  <mergeCells count="1">
    <mergeCell ref="A1:C1"/>
  </mergeCells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9"/>
  <sheetViews>
    <sheetView workbookViewId="0"/>
  </sheetViews>
  <sheetFormatPr defaultRowHeight="13.8"/>
  <cols>
    <col min="1" max="1" width="36" customWidth="1"/>
    <col min="2" max="2" width="16" customWidth="1"/>
  </cols>
  <sheetData>
    <row r="1" spans="1:2" ht="17.399999999999999">
      <c r="A1" s="22" t="s">
        <v>3333</v>
      </c>
      <c r="B1" s="23"/>
    </row>
    <row r="3" spans="1:2">
      <c r="A3" s="7" t="s">
        <v>17</v>
      </c>
      <c r="B3" s="7" t="s">
        <v>3298</v>
      </c>
    </row>
    <row r="4" spans="1:2">
      <c r="A4" s="10" t="s">
        <v>1870</v>
      </c>
      <c r="B4" s="10">
        <f>COUNTIF(Employees!$R:$R,A4)</f>
        <v>6</v>
      </c>
    </row>
    <row r="5" spans="1:2">
      <c r="A5" s="10" t="s">
        <v>1690</v>
      </c>
      <c r="B5" s="10">
        <f>COUNTIF(Employees!$R:$R,A5)</f>
        <v>6</v>
      </c>
    </row>
    <row r="6" spans="1:2">
      <c r="A6" s="10" t="s">
        <v>43</v>
      </c>
      <c r="B6" s="10">
        <f>COUNTIF(Employees!$R:$R,A6)</f>
        <v>50</v>
      </c>
    </row>
    <row r="7" spans="1:2">
      <c r="A7" s="10" t="s">
        <v>1511</v>
      </c>
      <c r="B7" s="10">
        <f>COUNTIF(Employees!$R:$R,A7)</f>
        <v>18</v>
      </c>
    </row>
    <row r="8" spans="1:2">
      <c r="A8" s="10" t="s">
        <v>32</v>
      </c>
      <c r="B8" s="10">
        <f>COUNTIF(Employees!$R:$R,A8)</f>
        <v>26</v>
      </c>
    </row>
    <row r="9" spans="1:2">
      <c r="A9" s="10" t="s">
        <v>1887</v>
      </c>
      <c r="B9" s="10">
        <f>COUNTIF(Employees!$R:$R,A9)</f>
        <v>6</v>
      </c>
    </row>
    <row r="10" spans="1:2">
      <c r="A10" s="10" t="s">
        <v>2215</v>
      </c>
      <c r="B10" s="10">
        <f>COUNTIF(Employees!$R:$R,A10)</f>
        <v>7</v>
      </c>
    </row>
    <row r="11" spans="1:2">
      <c r="A11" s="10" t="s">
        <v>436</v>
      </c>
      <c r="B11" s="10">
        <f>COUNTIF(Employees!$R:$R,A11)</f>
        <v>12</v>
      </c>
    </row>
    <row r="12" spans="1:2">
      <c r="A12" s="10" t="s">
        <v>3120</v>
      </c>
      <c r="B12" s="10">
        <f>COUNTIF(Employees!$R:$R,A12)</f>
        <v>6</v>
      </c>
    </row>
    <row r="13" spans="1:2">
      <c r="A13" s="10" t="s">
        <v>609</v>
      </c>
      <c r="B13" s="10">
        <f>COUNTIF(Employees!$R:$R,A13)</f>
        <v>18</v>
      </c>
    </row>
    <row r="14" spans="1:2">
      <c r="A14" s="10" t="s">
        <v>244</v>
      </c>
      <c r="B14" s="10">
        <f>COUNTIF(Employees!$R:$R,A14)</f>
        <v>12</v>
      </c>
    </row>
    <row r="15" spans="1:2">
      <c r="A15" s="10" t="s">
        <v>2421</v>
      </c>
      <c r="B15" s="10">
        <f>COUNTIF(Employees!$R:$R,A15)</f>
        <v>12</v>
      </c>
    </row>
    <row r="16" spans="1:2">
      <c r="A16" s="10" t="s">
        <v>2056</v>
      </c>
      <c r="B16" s="10">
        <f>COUNTIF(Employees!$R:$R,A16)</f>
        <v>6</v>
      </c>
    </row>
    <row r="17" spans="1:2">
      <c r="A17" s="10" t="s">
        <v>2241</v>
      </c>
      <c r="B17" s="10">
        <f>COUNTIF(Employees!$R:$R,A17)</f>
        <v>6</v>
      </c>
    </row>
    <row r="18" spans="1:2">
      <c r="A18" s="10" t="s">
        <v>64</v>
      </c>
      <c r="B18" s="10">
        <f>COUNTIF(Employees!$R:$R,A18)</f>
        <v>6</v>
      </c>
    </row>
    <row r="19" spans="1:2">
      <c r="A19" s="10" t="s">
        <v>2772</v>
      </c>
      <c r="B19" s="10">
        <f>COUNTIF(Employees!$R:$R,A19)</f>
        <v>6</v>
      </c>
    </row>
    <row r="20" spans="1:2">
      <c r="A20" s="10" t="s">
        <v>2403</v>
      </c>
      <c r="B20" s="10">
        <f>COUNTIF(Employees!$R:$R,A20)</f>
        <v>6</v>
      </c>
    </row>
    <row r="21" spans="1:2">
      <c r="A21" s="10" t="s">
        <v>793</v>
      </c>
      <c r="B21" s="10">
        <f>COUNTIF(Employees!$R:$R,A21)</f>
        <v>18</v>
      </c>
    </row>
    <row r="22" spans="1:2">
      <c r="A22" s="10" t="s">
        <v>2756</v>
      </c>
      <c r="B22" s="10">
        <f>COUNTIF(Employees!$R:$R,A22)</f>
        <v>6</v>
      </c>
    </row>
    <row r="23" spans="1:2">
      <c r="A23" s="10" t="s">
        <v>2412</v>
      </c>
      <c r="B23" s="10">
        <f>COUNTIF(Employees!$R:$R,A23)</f>
        <v>6</v>
      </c>
    </row>
    <row r="24" spans="1:2">
      <c r="A24" s="10" t="s">
        <v>2948</v>
      </c>
      <c r="B24" s="10">
        <f>COUNTIF(Employees!$R:$R,A24)</f>
        <v>6</v>
      </c>
    </row>
    <row r="25" spans="1:2">
      <c r="A25" s="10" t="s">
        <v>1332</v>
      </c>
      <c r="B25" s="10">
        <f>COUNTIF(Employees!$R:$R,A25)</f>
        <v>8</v>
      </c>
    </row>
    <row r="26" spans="1:2">
      <c r="A26" s="10" t="s">
        <v>2393</v>
      </c>
      <c r="B26" s="10">
        <f>COUNTIF(Employees!$R:$R,A26)</f>
        <v>7</v>
      </c>
    </row>
    <row r="27" spans="1:2">
      <c r="A27" s="10" t="s">
        <v>1154</v>
      </c>
      <c r="B27" s="10">
        <f>COUNTIF(Employees!$R:$R,A27)</f>
        <v>6</v>
      </c>
    </row>
    <row r="28" spans="1:2">
      <c r="A28" s="10" t="s">
        <v>2747</v>
      </c>
      <c r="B28" s="10">
        <f>COUNTIF(Employees!$R:$R,A28)</f>
        <v>7</v>
      </c>
    </row>
    <row r="29" spans="1:2">
      <c r="A29" s="10" t="s">
        <v>982</v>
      </c>
      <c r="B29" s="10">
        <f>COUNTIF(Employees!$R:$R,A29)</f>
        <v>6</v>
      </c>
    </row>
    <row r="30" spans="1:2">
      <c r="A30" s="10" t="s">
        <v>54</v>
      </c>
      <c r="B30" s="10">
        <f>COUNTIF(Employees!$R:$R,A30)</f>
        <v>81</v>
      </c>
    </row>
    <row r="31" spans="1:2">
      <c r="A31" s="10" t="s">
        <v>1680</v>
      </c>
      <c r="B31" s="10">
        <f>COUNTIF(Employees!$R:$R,A31)</f>
        <v>14</v>
      </c>
    </row>
    <row r="32" spans="1:2">
      <c r="A32" s="10" t="s">
        <v>262</v>
      </c>
      <c r="B32" s="10">
        <f>COUNTIF(Employees!$R:$R,A32)</f>
        <v>6</v>
      </c>
    </row>
    <row r="33" spans="1:2">
      <c r="A33" s="10" t="s">
        <v>1699</v>
      </c>
      <c r="B33" s="10">
        <f>COUNTIF(Employees!$R:$R,A33)</f>
        <v>12</v>
      </c>
    </row>
    <row r="34" spans="1:2">
      <c r="A34" s="10" t="s">
        <v>2224</v>
      </c>
      <c r="B34" s="10">
        <f>COUNTIF(Employees!$R:$R,A34)</f>
        <v>6</v>
      </c>
    </row>
    <row r="35" spans="1:2">
      <c r="A35" s="10" t="s">
        <v>427</v>
      </c>
      <c r="B35" s="10">
        <f>COUNTIF(Employees!$R:$R,A35)</f>
        <v>19</v>
      </c>
    </row>
    <row r="36" spans="1:2">
      <c r="A36" s="10" t="s">
        <v>3096</v>
      </c>
      <c r="B36" s="10">
        <f>COUNTIF(Employees!$R:$R,A36)</f>
        <v>7</v>
      </c>
    </row>
    <row r="37" spans="1:2">
      <c r="A37" s="10" t="s">
        <v>628</v>
      </c>
      <c r="B37" s="10">
        <f>COUNTIF(Employees!$R:$R,A37)</f>
        <v>6</v>
      </c>
    </row>
    <row r="38" spans="1:2">
      <c r="A38" s="10" t="s">
        <v>253</v>
      </c>
      <c r="B38" s="10">
        <f>COUNTIF(Employees!$R:$R,A38)</f>
        <v>6</v>
      </c>
    </row>
    <row r="39" spans="1:2">
      <c r="A39" s="10" t="s">
        <v>991</v>
      </c>
      <c r="B39" s="10">
        <f>COUNTIF(Employees!$R:$R,A39)</f>
        <v>14</v>
      </c>
    </row>
  </sheetData>
  <mergeCells count="1">
    <mergeCell ref="A1:B1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Employees</vt:lpstr>
      <vt:lpstr>Departments</vt:lpstr>
      <vt:lpstr>Summary</vt:lpstr>
      <vt:lpstr>Laravel Import Notes</vt:lpstr>
      <vt:lpstr>Organizations</vt:lpstr>
      <vt:lpstr>Education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AbdulSamad</dc:creator>
  <cp:lastModifiedBy>AbdulSamad</cp:lastModifiedBy>
  <dcterms:created xsi:type="dcterms:W3CDTF">2026-06-19T20:02:40Z</dcterms:created>
  <dcterms:modified xsi:type="dcterms:W3CDTF">2026-06-21T22:14:03Z</dcterms:modified>
</cp:coreProperties>
</file>