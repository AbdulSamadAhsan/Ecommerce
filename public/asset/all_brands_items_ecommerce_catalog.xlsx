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system\public\asset\"/>
    </mc:Choice>
  </mc:AlternateContent>
  <xr:revisionPtr revIDLastSave="0" documentId="13_ncr:1_{0AC2DAC2-07E8-46FE-A409-F9CA94998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Brand Products" sheetId="1" r:id="rId1"/>
    <sheet name="Brands by Category" sheetId="2" r:id="rId2"/>
    <sheet name="Supplier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B15" i="4"/>
  <c r="C14" i="4"/>
  <c r="B14" i="4"/>
  <c r="C13" i="4"/>
  <c r="B13" i="4"/>
  <c r="C12" i="4"/>
  <c r="B12" i="4"/>
  <c r="C11" i="4"/>
  <c r="B11" i="4"/>
  <c r="E7" i="4"/>
  <c r="C7" i="4"/>
  <c r="B7" i="4"/>
  <c r="E6" i="4"/>
  <c r="C6" i="4"/>
  <c r="B6" i="4"/>
  <c r="E5" i="4"/>
  <c r="C5" i="4"/>
  <c r="B5" i="4"/>
  <c r="E4" i="4"/>
  <c r="D4" i="4"/>
  <c r="C4" i="4"/>
  <c r="B4" i="4"/>
  <c r="M55" i="1"/>
  <c r="J55" i="1"/>
  <c r="M54" i="1"/>
  <c r="J54" i="1"/>
  <c r="M53" i="1"/>
  <c r="J53" i="1"/>
  <c r="M52" i="1"/>
  <c r="J52" i="1"/>
  <c r="M51" i="1"/>
  <c r="J51" i="1"/>
  <c r="M50" i="1"/>
  <c r="J50" i="1"/>
  <c r="M49" i="1"/>
  <c r="J49" i="1"/>
  <c r="M48" i="1"/>
  <c r="J48" i="1"/>
  <c r="M47" i="1"/>
  <c r="J47" i="1"/>
  <c r="M46" i="1"/>
  <c r="J46" i="1"/>
  <c r="M45" i="1"/>
  <c r="J45" i="1"/>
  <c r="M44" i="1"/>
  <c r="J44" i="1"/>
  <c r="M43" i="1"/>
  <c r="J43" i="1"/>
  <c r="M42" i="1"/>
  <c r="D7" i="4" s="1"/>
  <c r="J42" i="1"/>
  <c r="M41" i="1"/>
  <c r="J41" i="1"/>
  <c r="M40" i="1"/>
  <c r="J40" i="1"/>
  <c r="M39" i="1"/>
  <c r="J39" i="1"/>
  <c r="M38" i="1"/>
  <c r="J38" i="1"/>
  <c r="M37" i="1"/>
  <c r="J37" i="1"/>
  <c r="M36" i="1"/>
  <c r="J36" i="1"/>
  <c r="M35" i="1"/>
  <c r="J35" i="1"/>
  <c r="M34" i="1"/>
  <c r="J34" i="1"/>
  <c r="M33" i="1"/>
  <c r="J33" i="1"/>
  <c r="M32" i="1"/>
  <c r="J32" i="1"/>
  <c r="M31" i="1"/>
  <c r="J31" i="1"/>
  <c r="M30" i="1"/>
  <c r="D6" i="4" s="1"/>
  <c r="J30" i="1"/>
  <c r="M29" i="1"/>
  <c r="J29" i="1"/>
  <c r="M28" i="1"/>
  <c r="J28" i="1"/>
  <c r="M27" i="1"/>
  <c r="J27" i="1"/>
  <c r="M26" i="1"/>
  <c r="J26" i="1"/>
  <c r="M25" i="1"/>
  <c r="J25" i="1"/>
  <c r="M24" i="1"/>
  <c r="J24" i="1"/>
  <c r="M23" i="1"/>
  <c r="J23" i="1"/>
  <c r="M22" i="1"/>
  <c r="J22" i="1"/>
  <c r="M21" i="1"/>
  <c r="J21" i="1"/>
  <c r="M20" i="1"/>
  <c r="J20" i="1"/>
  <c r="M19" i="1"/>
  <c r="J19" i="1"/>
  <c r="M18" i="1"/>
  <c r="J18" i="1"/>
  <c r="M17" i="1"/>
  <c r="J17" i="1"/>
  <c r="M16" i="1"/>
  <c r="J16" i="1"/>
  <c r="M15" i="1"/>
  <c r="D5" i="4" s="1"/>
  <c r="J15" i="1"/>
  <c r="M14" i="1"/>
  <c r="J14" i="1"/>
  <c r="M13" i="1"/>
  <c r="J13" i="1"/>
  <c r="M12" i="1"/>
  <c r="J12" i="1"/>
  <c r="M11" i="1"/>
  <c r="J11" i="1"/>
  <c r="M10" i="1"/>
  <c r="J10" i="1"/>
  <c r="M9" i="1"/>
  <c r="D14" i="4" s="1"/>
  <c r="J9" i="1"/>
  <c r="M8" i="1"/>
  <c r="J8" i="1"/>
  <c r="M7" i="1"/>
  <c r="J7" i="1"/>
  <c r="M6" i="1"/>
  <c r="J6" i="1"/>
  <c r="M5" i="1"/>
  <c r="D15" i="4" s="1"/>
  <c r="J5" i="1"/>
  <c r="M4" i="1"/>
  <c r="J4" i="1"/>
  <c r="M3" i="1"/>
  <c r="D11" i="4" s="1"/>
  <c r="J3" i="1"/>
  <c r="D12" i="4" l="1"/>
  <c r="D13" i="4"/>
</calcChain>
</file>

<file path=xl/sharedStrings.xml><?xml version="1.0" encoding="utf-8"?>
<sst xmlns="http://schemas.openxmlformats.org/spreadsheetml/2006/main" count="658" uniqueCount="259">
  <si>
    <t>All Brand Items - Electronics E-commerce Catalog</t>
  </si>
  <si>
    <t>Product ID</t>
  </si>
  <si>
    <t>Category</t>
  </si>
  <si>
    <t>Brand</t>
  </si>
  <si>
    <t>Product Item / Model</t>
  </si>
  <si>
    <t>Supplier ID</t>
  </si>
  <si>
    <t>Supplier Name</t>
  </si>
  <si>
    <t>SKU</t>
  </si>
  <si>
    <t>Purchase Price (PKR)</t>
  </si>
  <si>
    <t>Selling Price (PKR)</t>
  </si>
  <si>
    <t>Profit / Unit</t>
  </si>
  <si>
    <t>Stock</t>
  </si>
  <si>
    <t>Reorder Level</t>
  </si>
  <si>
    <t>Stock Value</t>
  </si>
  <si>
    <t>Status</t>
  </si>
  <si>
    <t>P-1001</t>
  </si>
  <si>
    <t>Laptops</t>
  </si>
  <si>
    <t>Apple</t>
  </si>
  <si>
    <t>MacBook Air M3 13-inch</t>
  </si>
  <si>
    <t>S-001</t>
  </si>
  <si>
    <t>TechZone Distributors</t>
  </si>
  <si>
    <t>L-APPL-1001</t>
  </si>
  <si>
    <t>Active</t>
  </si>
  <si>
    <t>P-1002</t>
  </si>
  <si>
    <t>Dell</t>
  </si>
  <si>
    <t>Dell XPS 13 Plus</t>
  </si>
  <si>
    <t>L-DELL-1002</t>
  </si>
  <si>
    <t>P-1003</t>
  </si>
  <si>
    <t>HP</t>
  </si>
  <si>
    <t>HP Spectre x360 14</t>
  </si>
  <si>
    <t>S-005</t>
  </si>
  <si>
    <t>Pak Electronics Wholesale</t>
  </si>
  <si>
    <t>L-HP-1003</t>
  </si>
  <si>
    <t>P-1004</t>
  </si>
  <si>
    <t>Lenovo</t>
  </si>
  <si>
    <t>Lenovo ThinkPad X1 Carbon</t>
  </si>
  <si>
    <t>L-LENO-1004</t>
  </si>
  <si>
    <t>P-1005</t>
  </si>
  <si>
    <t>Asus</t>
  </si>
  <si>
    <t>ASUS Zenbook 14 OLED</t>
  </si>
  <si>
    <t>L-ASUS-1005</t>
  </si>
  <si>
    <t>P-1006</t>
  </si>
  <si>
    <t>Acer</t>
  </si>
  <si>
    <t>Acer Aspire 5</t>
  </si>
  <si>
    <t>L-ACER-1006</t>
  </si>
  <si>
    <t>P-1007</t>
  </si>
  <si>
    <t>MSI</t>
  </si>
  <si>
    <t>MSI Katana 15 Gaming</t>
  </si>
  <si>
    <t>S-004</t>
  </si>
  <si>
    <t>Global Gadgets</t>
  </si>
  <si>
    <t>L-MSI-1007</t>
  </si>
  <si>
    <t>P-1008</t>
  </si>
  <si>
    <t>Microsoft Surface</t>
  </si>
  <si>
    <t>Surface Laptop 5</t>
  </si>
  <si>
    <t>L-MICR-1008</t>
  </si>
  <si>
    <t>P-1009</t>
  </si>
  <si>
    <t>Samsung</t>
  </si>
  <si>
    <t>Samsung Galaxy Book4 Pro</t>
  </si>
  <si>
    <t>L-SAMS-1009</t>
  </si>
  <si>
    <t>P-1010</t>
  </si>
  <si>
    <t>Razer</t>
  </si>
  <si>
    <t>Razer Blade 15</t>
  </si>
  <si>
    <t>L-RAZE-1010</t>
  </si>
  <si>
    <t>P-1011</t>
  </si>
  <si>
    <t>Gigabyte</t>
  </si>
  <si>
    <t>Gigabyte G5 Gaming Laptop</t>
  </si>
  <si>
    <t>L-GIGA-1011</t>
  </si>
  <si>
    <t>P-1012</t>
  </si>
  <si>
    <t>Huawei</t>
  </si>
  <si>
    <t>Huawei MateBook D16</t>
  </si>
  <si>
    <t>L-HUAW-1012</t>
  </si>
  <si>
    <t>P-1013</t>
  </si>
  <si>
    <t>Mobiles</t>
  </si>
  <si>
    <t>iPhone 15</t>
  </si>
  <si>
    <t>S-002</t>
  </si>
  <si>
    <t>MobileCity Suppliers</t>
  </si>
  <si>
    <t>M-APPL-1013</t>
  </si>
  <si>
    <t>P-1014</t>
  </si>
  <si>
    <t>Samsung Galaxy S24 Ultra</t>
  </si>
  <si>
    <t>M-SAMS-1014</t>
  </si>
  <si>
    <t>P-1015</t>
  </si>
  <si>
    <t>Xiaomi</t>
  </si>
  <si>
    <t>Xiaomi 14</t>
  </si>
  <si>
    <t>M-XIAO-1015</t>
  </si>
  <si>
    <t>P-1016</t>
  </si>
  <si>
    <t>Redmi</t>
  </si>
  <si>
    <t>Redmi Note 13 Pro</t>
  </si>
  <si>
    <t>M-REDM-1016</t>
  </si>
  <si>
    <t>P-1017</t>
  </si>
  <si>
    <t>Realme</t>
  </si>
  <si>
    <t>Realme 12 Pro+</t>
  </si>
  <si>
    <t>M-REAL-1017</t>
  </si>
  <si>
    <t>P-1018</t>
  </si>
  <si>
    <t>Oppo</t>
  </si>
  <si>
    <t>OPPO Reno 11F</t>
  </si>
  <si>
    <t>M-OPPO-1018</t>
  </si>
  <si>
    <t>P-1019</t>
  </si>
  <si>
    <t>Vivo</t>
  </si>
  <si>
    <t>Vivo V30</t>
  </si>
  <si>
    <t>M-VIVO-1019</t>
  </si>
  <si>
    <t>P-1020</t>
  </si>
  <si>
    <t>OnePlus</t>
  </si>
  <si>
    <t>OnePlus 12</t>
  </si>
  <si>
    <t>M-ONEP-1020</t>
  </si>
  <si>
    <t>P-1021</t>
  </si>
  <si>
    <t>Infinix</t>
  </si>
  <si>
    <t>Infinix Note 40 Pro</t>
  </si>
  <si>
    <t>M-INFI-1021</t>
  </si>
  <si>
    <t>P-1022</t>
  </si>
  <si>
    <t>Tecno</t>
  </si>
  <si>
    <t>Tecno Camon 30</t>
  </si>
  <si>
    <t>M-TECN-1022</t>
  </si>
  <si>
    <t>P-1023</t>
  </si>
  <si>
    <t>Google Pixel</t>
  </si>
  <si>
    <t>Google Pixel 8 Pro</t>
  </si>
  <si>
    <t>M-GOOG-1023</t>
  </si>
  <si>
    <t>P-1024</t>
  </si>
  <si>
    <t>Motorola</t>
  </si>
  <si>
    <t>Motorola Edge 50 Pro</t>
  </si>
  <si>
    <t>M-MOTO-1024</t>
  </si>
  <si>
    <t>P-1025</t>
  </si>
  <si>
    <t>Nokia</t>
  </si>
  <si>
    <t>Nokia G42 5G</t>
  </si>
  <si>
    <t>M-NOKI-1025</t>
  </si>
  <si>
    <t>P-1026</t>
  </si>
  <si>
    <t>Honor</t>
  </si>
  <si>
    <t>Honor 90</t>
  </si>
  <si>
    <t>M-HONO-1026</t>
  </si>
  <si>
    <t>P-1027</t>
  </si>
  <si>
    <t>Huawei Nova 12 SE</t>
  </si>
  <si>
    <t>M-HUAW-1027</t>
  </si>
  <si>
    <t>P-1028</t>
  </si>
  <si>
    <t>Smart Watches</t>
  </si>
  <si>
    <t>Apple Watch Series 9</t>
  </si>
  <si>
    <t>SW-APPL-1028</t>
  </si>
  <si>
    <t>P-1029</t>
  </si>
  <si>
    <t>Galaxy Watch6 Classic</t>
  </si>
  <si>
    <t>SW-SAMS-1029</t>
  </si>
  <si>
    <t>P-1030</t>
  </si>
  <si>
    <t>Huawei Watch GT 4</t>
  </si>
  <si>
    <t>SW-HUAW-1030</t>
  </si>
  <si>
    <t>P-1031</t>
  </si>
  <si>
    <t>Xiaomi Watch S3</t>
  </si>
  <si>
    <t>SW-XIAO-1031</t>
  </si>
  <si>
    <t>P-1032</t>
  </si>
  <si>
    <t>Amazfit</t>
  </si>
  <si>
    <t>Amazfit GTR 4</t>
  </si>
  <si>
    <t>SW-AMAZ-1032</t>
  </si>
  <si>
    <t>P-1033</t>
  </si>
  <si>
    <t>Fitbit</t>
  </si>
  <si>
    <t>Fitbit Versa 4</t>
  </si>
  <si>
    <t>SW-FITB-1033</t>
  </si>
  <si>
    <t>P-1034</t>
  </si>
  <si>
    <t>Garmin</t>
  </si>
  <si>
    <t>Garmin Venu 3</t>
  </si>
  <si>
    <t>SW-GARM-1034</t>
  </si>
  <si>
    <t>P-1035</t>
  </si>
  <si>
    <t>Realme Watch 3 Pro</t>
  </si>
  <si>
    <t>SW-REAL-1035</t>
  </si>
  <si>
    <t>P-1036</t>
  </si>
  <si>
    <t>OPPO Watch Free</t>
  </si>
  <si>
    <t>SW-OPPO-1036</t>
  </si>
  <si>
    <t>P-1037</t>
  </si>
  <si>
    <t>Noise</t>
  </si>
  <si>
    <t>Noise ColorFit Pro 5</t>
  </si>
  <si>
    <t>SW-NOIS-1037</t>
  </si>
  <si>
    <t>P-1038</t>
  </si>
  <si>
    <t>Fire-Boltt</t>
  </si>
  <si>
    <t>Fire-Boltt Invincible Plus</t>
  </si>
  <si>
    <t>SW-FIRE-1038</t>
  </si>
  <si>
    <t>P-1039</t>
  </si>
  <si>
    <t>Haylou</t>
  </si>
  <si>
    <t>Haylou RS4 Plus</t>
  </si>
  <si>
    <t>SW-HAYL-1039</t>
  </si>
  <si>
    <t>P-1040</t>
  </si>
  <si>
    <t>Headphones</t>
  </si>
  <si>
    <t>Sony</t>
  </si>
  <si>
    <t>Sony WH-1000XM5</t>
  </si>
  <si>
    <t>S-003</t>
  </si>
  <si>
    <t>AudioMax Traders</t>
  </si>
  <si>
    <t>H-SONY-1040</t>
  </si>
  <si>
    <t>P-1041</t>
  </si>
  <si>
    <t>JBL</t>
  </si>
  <si>
    <t>JBL Tune 760NC</t>
  </si>
  <si>
    <t>H-JBL-1041</t>
  </si>
  <si>
    <t>P-1042</t>
  </si>
  <si>
    <t>Galaxy Buds2 Pro</t>
  </si>
  <si>
    <t>H-SAMS-1042</t>
  </si>
  <si>
    <t>P-1043</t>
  </si>
  <si>
    <t>AirPods Pro 2</t>
  </si>
  <si>
    <t>H-APPL-1043</t>
  </si>
  <si>
    <t>P-1044</t>
  </si>
  <si>
    <t>Beats</t>
  </si>
  <si>
    <t>Beats Studio Buds+</t>
  </si>
  <si>
    <t>H-BEAT-1044</t>
  </si>
  <si>
    <t>P-1045</t>
  </si>
  <si>
    <t>Bose</t>
  </si>
  <si>
    <t>Bose QuietComfort Ultra</t>
  </si>
  <si>
    <t>H-BOSE-1045</t>
  </si>
  <si>
    <t>P-1046</t>
  </si>
  <si>
    <t>Sennheiser</t>
  </si>
  <si>
    <t>Sennheiser Momentum 4</t>
  </si>
  <si>
    <t>H-SENN-1046</t>
  </si>
  <si>
    <t>P-1047</t>
  </si>
  <si>
    <t>Skullcandy</t>
  </si>
  <si>
    <t>Skullcandy Crusher Evo</t>
  </si>
  <si>
    <t>H-SKUL-1047</t>
  </si>
  <si>
    <t>P-1048</t>
  </si>
  <si>
    <t>Anker Soundcore</t>
  </si>
  <si>
    <t>Soundcore Life Q35</t>
  </si>
  <si>
    <t>H-ANKE-1048</t>
  </si>
  <si>
    <t>P-1049</t>
  </si>
  <si>
    <t>Audionic</t>
  </si>
  <si>
    <t>Audionic Airbud 550</t>
  </si>
  <si>
    <t>H-AUDI-1049</t>
  </si>
  <si>
    <t>P-1050</t>
  </si>
  <si>
    <t>Logitech</t>
  </si>
  <si>
    <t>Logitech G435 Lightspeed</t>
  </si>
  <si>
    <t>H-LOGI-1050</t>
  </si>
  <si>
    <t>P-1051</t>
  </si>
  <si>
    <t>Razer BlackShark V2 X</t>
  </si>
  <si>
    <t>H-RAZE-1051</t>
  </si>
  <si>
    <t>P-1052</t>
  </si>
  <si>
    <t>HyperX</t>
  </si>
  <si>
    <t>HyperX Cloud II</t>
  </si>
  <si>
    <t>H-HYPE-1052</t>
  </si>
  <si>
    <t>P-1053</t>
  </si>
  <si>
    <t>Baseus</t>
  </si>
  <si>
    <t>Baseus Bowie H1i</t>
  </si>
  <si>
    <t>H-BASE-1053</t>
  </si>
  <si>
    <t>Brands and Items by Category</t>
  </si>
  <si>
    <t>Sample Product Item</t>
  </si>
  <si>
    <t>Supplier List</t>
  </si>
  <si>
    <t>City</t>
  </si>
  <si>
    <t>Email</t>
  </si>
  <si>
    <t>Phone</t>
  </si>
  <si>
    <t>Supply Categories</t>
  </si>
  <si>
    <t>Karachi</t>
  </si>
  <si>
    <t>techzone@example.com</t>
  </si>
  <si>
    <t>0300-1111111</t>
  </si>
  <si>
    <t>Laptops, Smart Watches</t>
  </si>
  <si>
    <t>Lahore</t>
  </si>
  <si>
    <t>mobilecity@example.com</t>
  </si>
  <si>
    <t>0300-2222222</t>
  </si>
  <si>
    <t>audiomax@example.com</t>
  </si>
  <si>
    <t>0300-3333333</t>
  </si>
  <si>
    <t>Islamabad</t>
  </si>
  <si>
    <t>globalgadgets@example.com</t>
  </si>
  <si>
    <t>0300-4444444</t>
  </si>
  <si>
    <t>Mixed Electronics</t>
  </si>
  <si>
    <t>pakelectronics@example.com</t>
  </si>
  <si>
    <t>0300-5555555</t>
  </si>
  <si>
    <t>Catalog Summary</t>
  </si>
  <si>
    <t>Total Items</t>
  </si>
  <si>
    <t>Total Stock</t>
  </si>
  <si>
    <t>Total Stock Value</t>
  </si>
  <si>
    <t>Average Selling Price</t>
  </si>
  <si>
    <t>Supplier</t>
  </si>
  <si>
    <t>Items 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</si>
</sst>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3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0" borderId="0" xfId="1"/>
  </cellXfs>
  <cellStyles count="2">
    <cellStyle name="Hyperlink" xfId="1" builtinId="8"/>
    <cellStyle name="Normal" xfId="0" builtinId="0"/>
  </cellStyles>
  <dxfs count="1"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Items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Items</c:v>
          </c:tx>
          <c:invertIfNegative val="1"/>
          <c:cat>
            <c:strRef>
              <c:f>Summary!$A$4:$A$7</c:f>
              <c:strCache>
                <c:ptCount val="4"/>
                <c:pt idx="0">
                  <c:v>Laptops</c:v>
                </c:pt>
                <c:pt idx="1">
                  <c:v>Mobiles</c:v>
                </c:pt>
                <c:pt idx="2">
                  <c:v>Smart Watches</c:v>
                </c:pt>
                <c:pt idx="3">
                  <c:v>Headphones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12</c:v>
                </c:pt>
                <c:pt idx="1">
                  <c:v>15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0-4646-B496-6DC059A23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Items by Supplier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Items Supplied</c:v>
          </c:tx>
          <c:invertIfNegative val="1"/>
          <c:cat>
            <c:strRef>
              <c:f>Summary!$A$11:$A$15</c:f>
              <c:strCache>
                <c:ptCount val="5"/>
                <c:pt idx="0">
                  <c:v>TechZone Distributors</c:v>
                </c:pt>
                <c:pt idx="1">
                  <c:v>MobileCity Suppliers</c:v>
                </c:pt>
                <c:pt idx="2">
                  <c:v>AudioMax Traders</c:v>
                </c:pt>
                <c:pt idx="3">
                  <c:v>Global Gadgets</c:v>
                </c:pt>
                <c:pt idx="4">
                  <c:v>Pak Electronics Wholesale</c:v>
                </c:pt>
              </c:strCache>
            </c:strRef>
          </c:cat>
          <c:val>
            <c:numRef>
              <c:f>Summary!$B$11:$B$15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9-46AE-AAED-5D39947CB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BrandProductsTable" displayName="AllBrandProductsTable" ref="A2:N55">
  <tableColumns count="14">
    <tableColumn id="1" xr3:uid="{00000000-0010-0000-0000-000001000000}" name="Product ID"/>
    <tableColumn id="2" xr3:uid="{00000000-0010-0000-0000-000002000000}" name="Category"/>
    <tableColumn id="3" xr3:uid="{00000000-0010-0000-0000-000003000000}" name="Brand"/>
    <tableColumn id="4" xr3:uid="{00000000-0010-0000-0000-000004000000}" name="Product Item / Model"/>
    <tableColumn id="5" xr3:uid="{00000000-0010-0000-0000-000005000000}" name="Supplier ID"/>
    <tableColumn id="6" xr3:uid="{00000000-0010-0000-0000-000006000000}" name="Supplier Name"/>
    <tableColumn id="7" xr3:uid="{00000000-0010-0000-0000-000007000000}" name="SKU"/>
    <tableColumn id="8" xr3:uid="{00000000-0010-0000-0000-000008000000}" name="Purchase Price (PKR)"/>
    <tableColumn id="9" xr3:uid="{00000000-0010-0000-0000-000009000000}" name="Selling Price (PKR)"/>
    <tableColumn id="10" xr3:uid="{00000000-0010-0000-0000-00000A000000}" name="Profit / Unit"/>
    <tableColumn id="11" xr3:uid="{00000000-0010-0000-0000-00000B000000}" name="Stock"/>
    <tableColumn id="12" xr3:uid="{00000000-0010-0000-0000-00000C000000}" name="Reorder Level"/>
    <tableColumn id="13" xr3:uid="{00000000-0010-0000-0000-00000D000000}" name="Stock Value"/>
    <tableColumn id="14" xr3:uid="{00000000-0010-0000-0000-00000E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andsByCategoryTable" displayName="BrandsByCategoryTable" ref="A2:C55">
  <tableColumns count="3">
    <tableColumn id="1" xr3:uid="{00000000-0010-0000-0100-000001000000}" name="Category"/>
    <tableColumn id="2" xr3:uid="{00000000-0010-0000-0100-000002000000}" name="Brand"/>
    <tableColumn id="3" xr3:uid="{00000000-0010-0000-0100-000003000000}" name="Sample Product It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ppliersTable" displayName="SuppliersTable" ref="A2:F7">
  <tableColumns count="6">
    <tableColumn id="1" xr3:uid="{00000000-0010-0000-0200-000001000000}" name="Supplier ID"/>
    <tableColumn id="2" xr3:uid="{00000000-0010-0000-0200-000002000000}" name="Supplier Name"/>
    <tableColumn id="3" xr3:uid="{00000000-0010-0000-0200-000003000000}" name="City"/>
    <tableColumn id="4" xr3:uid="{00000000-0010-0000-0200-000004000000}" name="Email"/>
    <tableColumn id="5" xr3:uid="{00000000-0010-0000-0200-000005000000}" name="Phone"/>
    <tableColumn id="6" xr3:uid="{00000000-0010-0000-0200-000006000000}" name="Supply Categ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mobilecity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selection activeCell="G3" sqref="G3"/>
    </sheetView>
  </sheetViews>
  <sheetFormatPr defaultRowHeight="13.8"/>
  <cols>
    <col min="1" max="3" width="16" customWidth="1"/>
    <col min="4" max="4" width="32" customWidth="1"/>
    <col min="5" max="5" width="16" customWidth="1"/>
    <col min="6" max="6" width="24" customWidth="1"/>
    <col min="7" max="14" width="16" customWidth="1"/>
  </cols>
  <sheetData>
    <row r="1" spans="1:14" ht="19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7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>
        <v>285000</v>
      </c>
      <c r="I3" s="4">
        <v>315000</v>
      </c>
      <c r="J3" s="4">
        <f t="shared" ref="J3:J34" si="0">I3-H3</f>
        <v>30000</v>
      </c>
      <c r="K3" s="5">
        <v>10</v>
      </c>
      <c r="L3" s="5">
        <v>3</v>
      </c>
      <c r="M3" s="4">
        <f t="shared" ref="M3:M34" si="1">I3*K3</f>
        <v>3150000</v>
      </c>
      <c r="N3" s="3" t="s">
        <v>22</v>
      </c>
    </row>
    <row r="4" spans="1:14">
      <c r="A4" s="3" t="s">
        <v>23</v>
      </c>
      <c r="B4" s="3" t="s">
        <v>16</v>
      </c>
      <c r="C4" s="3" t="s">
        <v>24</v>
      </c>
      <c r="D4" s="3" t="s">
        <v>25</v>
      </c>
      <c r="E4" s="3" t="s">
        <v>19</v>
      </c>
      <c r="F4" s="3" t="s">
        <v>20</v>
      </c>
      <c r="G4" s="3" t="s">
        <v>26</v>
      </c>
      <c r="H4" s="4">
        <v>250000</v>
      </c>
      <c r="I4" s="4">
        <v>282000</v>
      </c>
      <c r="J4" s="4">
        <f t="shared" si="0"/>
        <v>32000</v>
      </c>
      <c r="K4" s="5">
        <v>7</v>
      </c>
      <c r="L4" s="5">
        <v>2</v>
      </c>
      <c r="M4" s="4">
        <f t="shared" si="1"/>
        <v>1974000</v>
      </c>
      <c r="N4" s="3" t="s">
        <v>22</v>
      </c>
    </row>
    <row r="5" spans="1:14">
      <c r="A5" s="3" t="s">
        <v>27</v>
      </c>
      <c r="B5" s="3" t="s">
        <v>16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4">
        <v>230000</v>
      </c>
      <c r="I5" s="4">
        <v>260000</v>
      </c>
      <c r="J5" s="4">
        <f t="shared" si="0"/>
        <v>30000</v>
      </c>
      <c r="K5" s="5">
        <v>8</v>
      </c>
      <c r="L5" s="5">
        <v>2</v>
      </c>
      <c r="M5" s="4">
        <f t="shared" si="1"/>
        <v>2080000</v>
      </c>
      <c r="N5" s="3" t="s">
        <v>22</v>
      </c>
    </row>
    <row r="6" spans="1:14">
      <c r="A6" s="3" t="s">
        <v>33</v>
      </c>
      <c r="B6" s="3" t="s">
        <v>16</v>
      </c>
      <c r="C6" s="3" t="s">
        <v>34</v>
      </c>
      <c r="D6" s="3" t="s">
        <v>35</v>
      </c>
      <c r="E6" s="3" t="s">
        <v>19</v>
      </c>
      <c r="F6" s="3" t="s">
        <v>20</v>
      </c>
      <c r="G6" s="3" t="s">
        <v>36</v>
      </c>
      <c r="H6" s="4">
        <v>265000</v>
      </c>
      <c r="I6" s="4">
        <v>298000</v>
      </c>
      <c r="J6" s="4">
        <f t="shared" si="0"/>
        <v>33000</v>
      </c>
      <c r="K6" s="5">
        <v>6</v>
      </c>
      <c r="L6" s="5">
        <v>2</v>
      </c>
      <c r="M6" s="4">
        <f t="shared" si="1"/>
        <v>1788000</v>
      </c>
      <c r="N6" s="3" t="s">
        <v>22</v>
      </c>
    </row>
    <row r="7" spans="1:14">
      <c r="A7" s="3" t="s">
        <v>37</v>
      </c>
      <c r="B7" s="3" t="s">
        <v>16</v>
      </c>
      <c r="C7" s="3" t="s">
        <v>38</v>
      </c>
      <c r="D7" s="3" t="s">
        <v>39</v>
      </c>
      <c r="E7" s="3" t="s">
        <v>30</v>
      </c>
      <c r="F7" s="3" t="s">
        <v>31</v>
      </c>
      <c r="G7" s="3" t="s">
        <v>40</v>
      </c>
      <c r="H7" s="4">
        <v>185000</v>
      </c>
      <c r="I7" s="4">
        <v>215000</v>
      </c>
      <c r="J7" s="4">
        <f t="shared" si="0"/>
        <v>30000</v>
      </c>
      <c r="K7" s="5">
        <v>12</v>
      </c>
      <c r="L7" s="5">
        <v>4</v>
      </c>
      <c r="M7" s="4">
        <f t="shared" si="1"/>
        <v>2580000</v>
      </c>
      <c r="N7" s="3" t="s">
        <v>22</v>
      </c>
    </row>
    <row r="8" spans="1:14">
      <c r="A8" s="3" t="s">
        <v>41</v>
      </c>
      <c r="B8" s="3" t="s">
        <v>16</v>
      </c>
      <c r="C8" s="3" t="s">
        <v>42</v>
      </c>
      <c r="D8" s="3" t="s">
        <v>43</v>
      </c>
      <c r="E8" s="3" t="s">
        <v>30</v>
      </c>
      <c r="F8" s="3" t="s">
        <v>31</v>
      </c>
      <c r="G8" s="3" t="s">
        <v>44</v>
      </c>
      <c r="H8" s="4">
        <v>130000</v>
      </c>
      <c r="I8" s="4">
        <v>152000</v>
      </c>
      <c r="J8" s="4">
        <f t="shared" si="0"/>
        <v>22000</v>
      </c>
      <c r="K8" s="5">
        <v>15</v>
      </c>
      <c r="L8" s="5">
        <v>5</v>
      </c>
      <c r="M8" s="4">
        <f t="shared" si="1"/>
        <v>2280000</v>
      </c>
      <c r="N8" s="3" t="s">
        <v>22</v>
      </c>
    </row>
    <row r="9" spans="1:14">
      <c r="A9" s="3" t="s">
        <v>45</v>
      </c>
      <c r="B9" s="3" t="s">
        <v>16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50</v>
      </c>
      <c r="H9" s="4">
        <v>245000</v>
      </c>
      <c r="I9" s="4">
        <v>278000</v>
      </c>
      <c r="J9" s="4">
        <f t="shared" si="0"/>
        <v>33000</v>
      </c>
      <c r="K9" s="5">
        <v>5</v>
      </c>
      <c r="L9" s="5">
        <v>2</v>
      </c>
      <c r="M9" s="4">
        <f t="shared" si="1"/>
        <v>1390000</v>
      </c>
      <c r="N9" s="3" t="s">
        <v>22</v>
      </c>
    </row>
    <row r="10" spans="1:14">
      <c r="A10" s="3" t="s">
        <v>51</v>
      </c>
      <c r="B10" s="3" t="s">
        <v>16</v>
      </c>
      <c r="C10" s="3" t="s">
        <v>52</v>
      </c>
      <c r="D10" s="3" t="s">
        <v>53</v>
      </c>
      <c r="E10" s="3" t="s">
        <v>48</v>
      </c>
      <c r="F10" s="3" t="s">
        <v>49</v>
      </c>
      <c r="G10" s="3" t="s">
        <v>54</v>
      </c>
      <c r="H10" s="4">
        <v>255000</v>
      </c>
      <c r="I10" s="4">
        <v>288000</v>
      </c>
      <c r="J10" s="4">
        <f t="shared" si="0"/>
        <v>33000</v>
      </c>
      <c r="K10" s="5">
        <v>4</v>
      </c>
      <c r="L10" s="5">
        <v>2</v>
      </c>
      <c r="M10" s="4">
        <f t="shared" si="1"/>
        <v>1152000</v>
      </c>
      <c r="N10" s="3" t="s">
        <v>22</v>
      </c>
    </row>
    <row r="11" spans="1:14">
      <c r="A11" s="3" t="s">
        <v>55</v>
      </c>
      <c r="B11" s="3" t="s">
        <v>16</v>
      </c>
      <c r="C11" s="3" t="s">
        <v>56</v>
      </c>
      <c r="D11" s="3" t="s">
        <v>57</v>
      </c>
      <c r="E11" s="3" t="s">
        <v>48</v>
      </c>
      <c r="F11" s="3" t="s">
        <v>49</v>
      </c>
      <c r="G11" s="3" t="s">
        <v>58</v>
      </c>
      <c r="H11" s="4">
        <v>260000</v>
      </c>
      <c r="I11" s="4">
        <v>294000</v>
      </c>
      <c r="J11" s="4">
        <f t="shared" si="0"/>
        <v>34000</v>
      </c>
      <c r="K11" s="5">
        <v>5</v>
      </c>
      <c r="L11" s="5">
        <v>2</v>
      </c>
      <c r="M11" s="4">
        <f t="shared" si="1"/>
        <v>1470000</v>
      </c>
      <c r="N11" s="3" t="s">
        <v>22</v>
      </c>
    </row>
    <row r="12" spans="1:14">
      <c r="A12" s="3" t="s">
        <v>59</v>
      </c>
      <c r="B12" s="3" t="s">
        <v>16</v>
      </c>
      <c r="C12" s="3" t="s">
        <v>60</v>
      </c>
      <c r="D12" s="3" t="s">
        <v>61</v>
      </c>
      <c r="E12" s="3" t="s">
        <v>48</v>
      </c>
      <c r="F12" s="3" t="s">
        <v>49</v>
      </c>
      <c r="G12" s="3" t="s">
        <v>62</v>
      </c>
      <c r="H12" s="4">
        <v>430000</v>
      </c>
      <c r="I12" s="4">
        <v>480000</v>
      </c>
      <c r="J12" s="4">
        <f t="shared" si="0"/>
        <v>50000</v>
      </c>
      <c r="K12" s="5">
        <v>3</v>
      </c>
      <c r="L12" s="5">
        <v>1</v>
      </c>
      <c r="M12" s="4">
        <f t="shared" si="1"/>
        <v>1440000</v>
      </c>
      <c r="N12" s="3" t="s">
        <v>22</v>
      </c>
    </row>
    <row r="13" spans="1:14">
      <c r="A13" s="3" t="s">
        <v>63</v>
      </c>
      <c r="B13" s="3" t="s">
        <v>16</v>
      </c>
      <c r="C13" s="3" t="s">
        <v>64</v>
      </c>
      <c r="D13" s="3" t="s">
        <v>65</v>
      </c>
      <c r="E13" s="3" t="s">
        <v>48</v>
      </c>
      <c r="F13" s="3" t="s">
        <v>49</v>
      </c>
      <c r="G13" s="3" t="s">
        <v>66</v>
      </c>
      <c r="H13" s="4">
        <v>210000</v>
      </c>
      <c r="I13" s="4">
        <v>242000</v>
      </c>
      <c r="J13" s="4">
        <f t="shared" si="0"/>
        <v>32000</v>
      </c>
      <c r="K13" s="5">
        <v>7</v>
      </c>
      <c r="L13" s="5">
        <v>2</v>
      </c>
      <c r="M13" s="4">
        <f t="shared" si="1"/>
        <v>1694000</v>
      </c>
      <c r="N13" s="3" t="s">
        <v>22</v>
      </c>
    </row>
    <row r="14" spans="1:14">
      <c r="A14" s="3" t="s">
        <v>67</v>
      </c>
      <c r="B14" s="3" t="s">
        <v>16</v>
      </c>
      <c r="C14" s="3" t="s">
        <v>68</v>
      </c>
      <c r="D14" s="3" t="s">
        <v>69</v>
      </c>
      <c r="E14" s="3" t="s">
        <v>19</v>
      </c>
      <c r="F14" s="3" t="s">
        <v>20</v>
      </c>
      <c r="G14" s="3" t="s">
        <v>70</v>
      </c>
      <c r="H14" s="4">
        <v>165000</v>
      </c>
      <c r="I14" s="4">
        <v>192000</v>
      </c>
      <c r="J14" s="4">
        <f t="shared" si="0"/>
        <v>27000</v>
      </c>
      <c r="K14" s="5">
        <v>9</v>
      </c>
      <c r="L14" s="5">
        <v>3</v>
      </c>
      <c r="M14" s="4">
        <f t="shared" si="1"/>
        <v>1728000</v>
      </c>
      <c r="N14" s="3" t="s">
        <v>22</v>
      </c>
    </row>
    <row r="15" spans="1:14">
      <c r="A15" s="3" t="s">
        <v>71</v>
      </c>
      <c r="B15" s="3" t="s">
        <v>72</v>
      </c>
      <c r="C15" s="3" t="s">
        <v>17</v>
      </c>
      <c r="D15" s="3" t="s">
        <v>73</v>
      </c>
      <c r="E15" s="3" t="s">
        <v>74</v>
      </c>
      <c r="F15" s="3" t="s">
        <v>75</v>
      </c>
      <c r="G15" s="3" t="s">
        <v>76</v>
      </c>
      <c r="H15" s="4">
        <v>230000</v>
      </c>
      <c r="I15" s="4">
        <v>255000</v>
      </c>
      <c r="J15" s="4">
        <f t="shared" si="0"/>
        <v>25000</v>
      </c>
      <c r="K15" s="5">
        <v>20</v>
      </c>
      <c r="L15" s="5">
        <v>5</v>
      </c>
      <c r="M15" s="4">
        <f t="shared" si="1"/>
        <v>5100000</v>
      </c>
      <c r="N15" s="3" t="s">
        <v>22</v>
      </c>
    </row>
    <row r="16" spans="1:14">
      <c r="A16" s="3" t="s">
        <v>77</v>
      </c>
      <c r="B16" s="3" t="s">
        <v>72</v>
      </c>
      <c r="C16" s="3" t="s">
        <v>56</v>
      </c>
      <c r="D16" s="3" t="s">
        <v>78</v>
      </c>
      <c r="E16" s="3" t="s">
        <v>74</v>
      </c>
      <c r="F16" s="3" t="s">
        <v>75</v>
      </c>
      <c r="G16" s="3" t="s">
        <v>79</v>
      </c>
      <c r="H16" s="4">
        <v>320000</v>
      </c>
      <c r="I16" s="4">
        <v>355000</v>
      </c>
      <c r="J16" s="4">
        <f t="shared" si="0"/>
        <v>35000</v>
      </c>
      <c r="K16" s="5">
        <v>12</v>
      </c>
      <c r="L16" s="5">
        <v>4</v>
      </c>
      <c r="M16" s="4">
        <f t="shared" si="1"/>
        <v>4260000</v>
      </c>
      <c r="N16" s="3" t="s">
        <v>22</v>
      </c>
    </row>
    <row r="17" spans="1:14">
      <c r="A17" s="3" t="s">
        <v>80</v>
      </c>
      <c r="B17" s="3" t="s">
        <v>72</v>
      </c>
      <c r="C17" s="3" t="s">
        <v>81</v>
      </c>
      <c r="D17" s="3" t="s">
        <v>82</v>
      </c>
      <c r="E17" s="3" t="s">
        <v>74</v>
      </c>
      <c r="F17" s="3" t="s">
        <v>75</v>
      </c>
      <c r="G17" s="3" t="s">
        <v>83</v>
      </c>
      <c r="H17" s="4">
        <v>205000</v>
      </c>
      <c r="I17" s="4">
        <v>232000</v>
      </c>
      <c r="J17" s="4">
        <f t="shared" si="0"/>
        <v>27000</v>
      </c>
      <c r="K17" s="5">
        <v>15</v>
      </c>
      <c r="L17" s="5">
        <v>5</v>
      </c>
      <c r="M17" s="4">
        <f t="shared" si="1"/>
        <v>3480000</v>
      </c>
      <c r="N17" s="3" t="s">
        <v>22</v>
      </c>
    </row>
    <row r="18" spans="1:14">
      <c r="A18" s="3" t="s">
        <v>84</v>
      </c>
      <c r="B18" s="3" t="s">
        <v>72</v>
      </c>
      <c r="C18" s="3" t="s">
        <v>85</v>
      </c>
      <c r="D18" s="3" t="s">
        <v>86</v>
      </c>
      <c r="E18" s="3" t="s">
        <v>74</v>
      </c>
      <c r="F18" s="3" t="s">
        <v>75</v>
      </c>
      <c r="G18" s="3" t="s">
        <v>87</v>
      </c>
      <c r="H18" s="4">
        <v>76000</v>
      </c>
      <c r="I18" s="4">
        <v>89000</v>
      </c>
      <c r="J18" s="4">
        <f t="shared" si="0"/>
        <v>13000</v>
      </c>
      <c r="K18" s="5">
        <v>35</v>
      </c>
      <c r="L18" s="5">
        <v>10</v>
      </c>
      <c r="M18" s="4">
        <f t="shared" si="1"/>
        <v>3115000</v>
      </c>
      <c r="N18" s="3" t="s">
        <v>22</v>
      </c>
    </row>
    <row r="19" spans="1:14">
      <c r="A19" s="3" t="s">
        <v>88</v>
      </c>
      <c r="B19" s="3" t="s">
        <v>72</v>
      </c>
      <c r="C19" s="3" t="s">
        <v>89</v>
      </c>
      <c r="D19" s="3" t="s">
        <v>90</v>
      </c>
      <c r="E19" s="3" t="s">
        <v>74</v>
      </c>
      <c r="F19" s="3" t="s">
        <v>75</v>
      </c>
      <c r="G19" s="3" t="s">
        <v>91</v>
      </c>
      <c r="H19" s="4">
        <v>98000</v>
      </c>
      <c r="I19" s="4">
        <v>115000</v>
      </c>
      <c r="J19" s="4">
        <f t="shared" si="0"/>
        <v>17000</v>
      </c>
      <c r="K19" s="5">
        <v>28</v>
      </c>
      <c r="L19" s="5">
        <v>8</v>
      </c>
      <c r="M19" s="4">
        <f t="shared" si="1"/>
        <v>3220000</v>
      </c>
      <c r="N19" s="3" t="s">
        <v>22</v>
      </c>
    </row>
    <row r="20" spans="1:14">
      <c r="A20" s="3" t="s">
        <v>92</v>
      </c>
      <c r="B20" s="3" t="s">
        <v>72</v>
      </c>
      <c r="C20" s="3" t="s">
        <v>93</v>
      </c>
      <c r="D20" s="3" t="s">
        <v>94</v>
      </c>
      <c r="E20" s="3" t="s">
        <v>74</v>
      </c>
      <c r="F20" s="3" t="s">
        <v>75</v>
      </c>
      <c r="G20" s="3" t="s">
        <v>95</v>
      </c>
      <c r="H20" s="4">
        <v>82000</v>
      </c>
      <c r="I20" s="4">
        <v>96000</v>
      </c>
      <c r="J20" s="4">
        <f t="shared" si="0"/>
        <v>14000</v>
      </c>
      <c r="K20" s="5">
        <v>25</v>
      </c>
      <c r="L20" s="5">
        <v>8</v>
      </c>
      <c r="M20" s="4">
        <f t="shared" si="1"/>
        <v>2400000</v>
      </c>
      <c r="N20" s="3" t="s">
        <v>22</v>
      </c>
    </row>
    <row r="21" spans="1:14">
      <c r="A21" s="3" t="s">
        <v>96</v>
      </c>
      <c r="B21" s="3" t="s">
        <v>72</v>
      </c>
      <c r="C21" s="3" t="s">
        <v>97</v>
      </c>
      <c r="D21" s="3" t="s">
        <v>98</v>
      </c>
      <c r="E21" s="3" t="s">
        <v>74</v>
      </c>
      <c r="F21" s="3" t="s">
        <v>75</v>
      </c>
      <c r="G21" s="3" t="s">
        <v>99</v>
      </c>
      <c r="H21" s="4">
        <v>105000</v>
      </c>
      <c r="I21" s="4">
        <v>123000</v>
      </c>
      <c r="J21" s="4">
        <f t="shared" si="0"/>
        <v>18000</v>
      </c>
      <c r="K21" s="5">
        <v>18</v>
      </c>
      <c r="L21" s="5">
        <v>6</v>
      </c>
      <c r="M21" s="4">
        <f t="shared" si="1"/>
        <v>2214000</v>
      </c>
      <c r="N21" s="3" t="s">
        <v>22</v>
      </c>
    </row>
    <row r="22" spans="1:14">
      <c r="A22" s="3" t="s">
        <v>100</v>
      </c>
      <c r="B22" s="3" t="s">
        <v>72</v>
      </c>
      <c r="C22" s="3" t="s">
        <v>101</v>
      </c>
      <c r="D22" s="3" t="s">
        <v>102</v>
      </c>
      <c r="E22" s="3" t="s">
        <v>48</v>
      </c>
      <c r="F22" s="3" t="s">
        <v>49</v>
      </c>
      <c r="G22" s="3" t="s">
        <v>103</v>
      </c>
      <c r="H22" s="4">
        <v>225000</v>
      </c>
      <c r="I22" s="4">
        <v>255000</v>
      </c>
      <c r="J22" s="4">
        <f t="shared" si="0"/>
        <v>30000</v>
      </c>
      <c r="K22" s="5">
        <v>8</v>
      </c>
      <c r="L22" s="5">
        <v>3</v>
      </c>
      <c r="M22" s="4">
        <f t="shared" si="1"/>
        <v>2040000</v>
      </c>
      <c r="N22" s="3" t="s">
        <v>22</v>
      </c>
    </row>
    <row r="23" spans="1:14">
      <c r="A23" s="3" t="s">
        <v>104</v>
      </c>
      <c r="B23" s="3" t="s">
        <v>72</v>
      </c>
      <c r="C23" s="3" t="s">
        <v>105</v>
      </c>
      <c r="D23" s="3" t="s">
        <v>106</v>
      </c>
      <c r="E23" s="3" t="s">
        <v>30</v>
      </c>
      <c r="F23" s="3" t="s">
        <v>31</v>
      </c>
      <c r="G23" s="3" t="s">
        <v>107</v>
      </c>
      <c r="H23" s="4">
        <v>62000</v>
      </c>
      <c r="I23" s="4">
        <v>73500</v>
      </c>
      <c r="J23" s="4">
        <f t="shared" si="0"/>
        <v>11500</v>
      </c>
      <c r="K23" s="5">
        <v>40</v>
      </c>
      <c r="L23" s="5">
        <v>12</v>
      </c>
      <c r="M23" s="4">
        <f t="shared" si="1"/>
        <v>2940000</v>
      </c>
      <c r="N23" s="3" t="s">
        <v>22</v>
      </c>
    </row>
    <row r="24" spans="1:14">
      <c r="A24" s="3" t="s">
        <v>108</v>
      </c>
      <c r="B24" s="3" t="s">
        <v>72</v>
      </c>
      <c r="C24" s="3" t="s">
        <v>109</v>
      </c>
      <c r="D24" s="3" t="s">
        <v>110</v>
      </c>
      <c r="E24" s="3" t="s">
        <v>30</v>
      </c>
      <c r="F24" s="3" t="s">
        <v>31</v>
      </c>
      <c r="G24" s="3" t="s">
        <v>111</v>
      </c>
      <c r="H24" s="4">
        <v>52000</v>
      </c>
      <c r="I24" s="4">
        <v>62000</v>
      </c>
      <c r="J24" s="4">
        <f t="shared" si="0"/>
        <v>10000</v>
      </c>
      <c r="K24" s="5">
        <v>38</v>
      </c>
      <c r="L24" s="5">
        <v>12</v>
      </c>
      <c r="M24" s="4">
        <f t="shared" si="1"/>
        <v>2356000</v>
      </c>
      <c r="N24" s="3" t="s">
        <v>22</v>
      </c>
    </row>
    <row r="25" spans="1:14">
      <c r="A25" s="3" t="s">
        <v>112</v>
      </c>
      <c r="B25" s="3" t="s">
        <v>72</v>
      </c>
      <c r="C25" s="3" t="s">
        <v>113</v>
      </c>
      <c r="D25" s="3" t="s">
        <v>114</v>
      </c>
      <c r="E25" s="3" t="s">
        <v>48</v>
      </c>
      <c r="F25" s="3" t="s">
        <v>49</v>
      </c>
      <c r="G25" s="3" t="s">
        <v>115</v>
      </c>
      <c r="H25" s="4">
        <v>250000</v>
      </c>
      <c r="I25" s="4">
        <v>282000</v>
      </c>
      <c r="J25" s="4">
        <f t="shared" si="0"/>
        <v>32000</v>
      </c>
      <c r="K25" s="5">
        <v>6</v>
      </c>
      <c r="L25" s="5">
        <v>2</v>
      </c>
      <c r="M25" s="4">
        <f t="shared" si="1"/>
        <v>1692000</v>
      </c>
      <c r="N25" s="3" t="s">
        <v>22</v>
      </c>
    </row>
    <row r="26" spans="1:14">
      <c r="A26" s="3" t="s">
        <v>116</v>
      </c>
      <c r="B26" s="3" t="s">
        <v>72</v>
      </c>
      <c r="C26" s="3" t="s">
        <v>117</v>
      </c>
      <c r="D26" s="3" t="s">
        <v>118</v>
      </c>
      <c r="E26" s="3" t="s">
        <v>48</v>
      </c>
      <c r="F26" s="3" t="s">
        <v>49</v>
      </c>
      <c r="G26" s="3" t="s">
        <v>119</v>
      </c>
      <c r="H26" s="4">
        <v>145000</v>
      </c>
      <c r="I26" s="4">
        <v>168000</v>
      </c>
      <c r="J26" s="4">
        <f t="shared" si="0"/>
        <v>23000</v>
      </c>
      <c r="K26" s="5">
        <v>10</v>
      </c>
      <c r="L26" s="5">
        <v>4</v>
      </c>
      <c r="M26" s="4">
        <f t="shared" si="1"/>
        <v>1680000</v>
      </c>
      <c r="N26" s="3" t="s">
        <v>22</v>
      </c>
    </row>
    <row r="27" spans="1:14">
      <c r="A27" s="3" t="s">
        <v>120</v>
      </c>
      <c r="B27" s="3" t="s">
        <v>72</v>
      </c>
      <c r="C27" s="3" t="s">
        <v>121</v>
      </c>
      <c r="D27" s="3" t="s">
        <v>122</v>
      </c>
      <c r="E27" s="3" t="s">
        <v>74</v>
      </c>
      <c r="F27" s="3" t="s">
        <v>75</v>
      </c>
      <c r="G27" s="3" t="s">
        <v>123</v>
      </c>
      <c r="H27" s="4">
        <v>68000</v>
      </c>
      <c r="I27" s="4">
        <v>79500</v>
      </c>
      <c r="J27" s="4">
        <f t="shared" si="0"/>
        <v>11500</v>
      </c>
      <c r="K27" s="5">
        <v>22</v>
      </c>
      <c r="L27" s="5">
        <v>7</v>
      </c>
      <c r="M27" s="4">
        <f t="shared" si="1"/>
        <v>1749000</v>
      </c>
      <c r="N27" s="3" t="s">
        <v>22</v>
      </c>
    </row>
    <row r="28" spans="1:14">
      <c r="A28" s="3" t="s">
        <v>124</v>
      </c>
      <c r="B28" s="3" t="s">
        <v>72</v>
      </c>
      <c r="C28" s="3" t="s">
        <v>125</v>
      </c>
      <c r="D28" s="3" t="s">
        <v>126</v>
      </c>
      <c r="E28" s="3" t="s">
        <v>48</v>
      </c>
      <c r="F28" s="3" t="s">
        <v>49</v>
      </c>
      <c r="G28" s="3" t="s">
        <v>127</v>
      </c>
      <c r="H28" s="4">
        <v>112000</v>
      </c>
      <c r="I28" s="4">
        <v>132000</v>
      </c>
      <c r="J28" s="4">
        <f t="shared" si="0"/>
        <v>20000</v>
      </c>
      <c r="K28" s="5">
        <v>16</v>
      </c>
      <c r="L28" s="5">
        <v>5</v>
      </c>
      <c r="M28" s="4">
        <f t="shared" si="1"/>
        <v>2112000</v>
      </c>
      <c r="N28" s="3" t="s">
        <v>22</v>
      </c>
    </row>
    <row r="29" spans="1:14">
      <c r="A29" s="3" t="s">
        <v>128</v>
      </c>
      <c r="B29" s="3" t="s">
        <v>72</v>
      </c>
      <c r="C29" s="3" t="s">
        <v>68</v>
      </c>
      <c r="D29" s="3" t="s">
        <v>129</v>
      </c>
      <c r="E29" s="3" t="s">
        <v>48</v>
      </c>
      <c r="F29" s="3" t="s">
        <v>49</v>
      </c>
      <c r="G29" s="3" t="s">
        <v>130</v>
      </c>
      <c r="H29" s="4">
        <v>102000</v>
      </c>
      <c r="I29" s="4">
        <v>121000</v>
      </c>
      <c r="J29" s="4">
        <f t="shared" si="0"/>
        <v>19000</v>
      </c>
      <c r="K29" s="5">
        <v>13</v>
      </c>
      <c r="L29" s="5">
        <v>5</v>
      </c>
      <c r="M29" s="4">
        <f t="shared" si="1"/>
        <v>1573000</v>
      </c>
      <c r="N29" s="3" t="s">
        <v>22</v>
      </c>
    </row>
    <row r="30" spans="1:14">
      <c r="A30" s="3" t="s">
        <v>131</v>
      </c>
      <c r="B30" s="3" t="s">
        <v>132</v>
      </c>
      <c r="C30" s="3" t="s">
        <v>17</v>
      </c>
      <c r="D30" s="3" t="s">
        <v>133</v>
      </c>
      <c r="E30" s="3" t="s">
        <v>19</v>
      </c>
      <c r="F30" s="3" t="s">
        <v>20</v>
      </c>
      <c r="G30" s="3" t="s">
        <v>134</v>
      </c>
      <c r="H30" s="4">
        <v>92000</v>
      </c>
      <c r="I30" s="4">
        <v>108000</v>
      </c>
      <c r="J30" s="4">
        <f t="shared" si="0"/>
        <v>16000</v>
      </c>
      <c r="K30" s="5">
        <v>14</v>
      </c>
      <c r="L30" s="5">
        <v>4</v>
      </c>
      <c r="M30" s="4">
        <f t="shared" si="1"/>
        <v>1512000</v>
      </c>
      <c r="N30" s="3" t="s">
        <v>22</v>
      </c>
    </row>
    <row r="31" spans="1:14">
      <c r="A31" s="3" t="s">
        <v>135</v>
      </c>
      <c r="B31" s="3" t="s">
        <v>132</v>
      </c>
      <c r="C31" s="3" t="s">
        <v>56</v>
      </c>
      <c r="D31" s="3" t="s">
        <v>136</v>
      </c>
      <c r="E31" s="3" t="s">
        <v>48</v>
      </c>
      <c r="F31" s="3" t="s">
        <v>49</v>
      </c>
      <c r="G31" s="3" t="s">
        <v>137</v>
      </c>
      <c r="H31" s="4">
        <v>68000</v>
      </c>
      <c r="I31" s="4">
        <v>79000</v>
      </c>
      <c r="J31" s="4">
        <f t="shared" si="0"/>
        <v>11000</v>
      </c>
      <c r="K31" s="5">
        <v>16</v>
      </c>
      <c r="L31" s="5">
        <v>5</v>
      </c>
      <c r="M31" s="4">
        <f t="shared" si="1"/>
        <v>1264000</v>
      </c>
      <c r="N31" s="3" t="s">
        <v>22</v>
      </c>
    </row>
    <row r="32" spans="1:14">
      <c r="A32" s="3" t="s">
        <v>138</v>
      </c>
      <c r="B32" s="3" t="s">
        <v>132</v>
      </c>
      <c r="C32" s="3" t="s">
        <v>68</v>
      </c>
      <c r="D32" s="3" t="s">
        <v>139</v>
      </c>
      <c r="E32" s="3" t="s">
        <v>19</v>
      </c>
      <c r="F32" s="3" t="s">
        <v>20</v>
      </c>
      <c r="G32" s="3" t="s">
        <v>140</v>
      </c>
      <c r="H32" s="4">
        <v>54000</v>
      </c>
      <c r="I32" s="4">
        <v>65000</v>
      </c>
      <c r="J32" s="4">
        <f t="shared" si="0"/>
        <v>11000</v>
      </c>
      <c r="K32" s="5">
        <v>18</v>
      </c>
      <c r="L32" s="5">
        <v>6</v>
      </c>
      <c r="M32" s="4">
        <f t="shared" si="1"/>
        <v>1170000</v>
      </c>
      <c r="N32" s="3" t="s">
        <v>22</v>
      </c>
    </row>
    <row r="33" spans="1:14">
      <c r="A33" s="3" t="s">
        <v>141</v>
      </c>
      <c r="B33" s="3" t="s">
        <v>132</v>
      </c>
      <c r="C33" s="3" t="s">
        <v>81</v>
      </c>
      <c r="D33" s="3" t="s">
        <v>142</v>
      </c>
      <c r="E33" s="3" t="s">
        <v>30</v>
      </c>
      <c r="F33" s="3" t="s">
        <v>31</v>
      </c>
      <c r="G33" s="3" t="s">
        <v>143</v>
      </c>
      <c r="H33" s="4">
        <v>31000</v>
      </c>
      <c r="I33" s="4">
        <v>38500</v>
      </c>
      <c r="J33" s="4">
        <f t="shared" si="0"/>
        <v>7500</v>
      </c>
      <c r="K33" s="5">
        <v>25</v>
      </c>
      <c r="L33" s="5">
        <v>8</v>
      </c>
      <c r="M33" s="4">
        <f t="shared" si="1"/>
        <v>962500</v>
      </c>
      <c r="N33" s="3" t="s">
        <v>22</v>
      </c>
    </row>
    <row r="34" spans="1:14">
      <c r="A34" s="3" t="s">
        <v>144</v>
      </c>
      <c r="B34" s="3" t="s">
        <v>132</v>
      </c>
      <c r="C34" s="3" t="s">
        <v>145</v>
      </c>
      <c r="D34" s="3" t="s">
        <v>146</v>
      </c>
      <c r="E34" s="3" t="s">
        <v>30</v>
      </c>
      <c r="F34" s="3" t="s">
        <v>31</v>
      </c>
      <c r="G34" s="3" t="s">
        <v>147</v>
      </c>
      <c r="H34" s="4">
        <v>39000</v>
      </c>
      <c r="I34" s="4">
        <v>47000</v>
      </c>
      <c r="J34" s="4">
        <f t="shared" si="0"/>
        <v>8000</v>
      </c>
      <c r="K34" s="5">
        <v>20</v>
      </c>
      <c r="L34" s="5">
        <v>6</v>
      </c>
      <c r="M34" s="4">
        <f t="shared" si="1"/>
        <v>940000</v>
      </c>
      <c r="N34" s="3" t="s">
        <v>22</v>
      </c>
    </row>
    <row r="35" spans="1:14">
      <c r="A35" s="3" t="s">
        <v>148</v>
      </c>
      <c r="B35" s="3" t="s">
        <v>132</v>
      </c>
      <c r="C35" s="3" t="s">
        <v>149</v>
      </c>
      <c r="D35" s="3" t="s">
        <v>150</v>
      </c>
      <c r="E35" s="3" t="s">
        <v>48</v>
      </c>
      <c r="F35" s="3" t="s">
        <v>49</v>
      </c>
      <c r="G35" s="3" t="s">
        <v>151</v>
      </c>
      <c r="H35" s="4">
        <v>48000</v>
      </c>
      <c r="I35" s="4">
        <v>58500</v>
      </c>
      <c r="J35" s="4">
        <f t="shared" ref="J35:J55" si="2">I35-H35</f>
        <v>10500</v>
      </c>
      <c r="K35" s="5">
        <v>12</v>
      </c>
      <c r="L35" s="5">
        <v>4</v>
      </c>
      <c r="M35" s="4">
        <f t="shared" ref="M35:M55" si="3">I35*K35</f>
        <v>702000</v>
      </c>
      <c r="N35" s="3" t="s">
        <v>22</v>
      </c>
    </row>
    <row r="36" spans="1:14">
      <c r="A36" s="3" t="s">
        <v>152</v>
      </c>
      <c r="B36" s="3" t="s">
        <v>132</v>
      </c>
      <c r="C36" s="3" t="s">
        <v>153</v>
      </c>
      <c r="D36" s="3" t="s">
        <v>154</v>
      </c>
      <c r="E36" s="3" t="s">
        <v>48</v>
      </c>
      <c r="F36" s="3" t="s">
        <v>49</v>
      </c>
      <c r="G36" s="3" t="s">
        <v>155</v>
      </c>
      <c r="H36" s="4">
        <v>115000</v>
      </c>
      <c r="I36" s="4">
        <v>132000</v>
      </c>
      <c r="J36" s="4">
        <f t="shared" si="2"/>
        <v>17000</v>
      </c>
      <c r="K36" s="5">
        <v>7</v>
      </c>
      <c r="L36" s="5">
        <v>2</v>
      </c>
      <c r="M36" s="4">
        <f t="shared" si="3"/>
        <v>924000</v>
      </c>
      <c r="N36" s="3" t="s">
        <v>22</v>
      </c>
    </row>
    <row r="37" spans="1:14">
      <c r="A37" s="3" t="s">
        <v>156</v>
      </c>
      <c r="B37" s="3" t="s">
        <v>132</v>
      </c>
      <c r="C37" s="3" t="s">
        <v>89</v>
      </c>
      <c r="D37" s="3" t="s">
        <v>157</v>
      </c>
      <c r="E37" s="3" t="s">
        <v>30</v>
      </c>
      <c r="F37" s="3" t="s">
        <v>31</v>
      </c>
      <c r="G37" s="3" t="s">
        <v>158</v>
      </c>
      <c r="H37" s="4">
        <v>21000</v>
      </c>
      <c r="I37" s="4">
        <v>26500</v>
      </c>
      <c r="J37" s="4">
        <f t="shared" si="2"/>
        <v>5500</v>
      </c>
      <c r="K37" s="5">
        <v>30</v>
      </c>
      <c r="L37" s="5">
        <v>10</v>
      </c>
      <c r="M37" s="4">
        <f t="shared" si="3"/>
        <v>795000</v>
      </c>
      <c r="N37" s="3" t="s">
        <v>22</v>
      </c>
    </row>
    <row r="38" spans="1:14">
      <c r="A38" s="3" t="s">
        <v>159</v>
      </c>
      <c r="B38" s="3" t="s">
        <v>132</v>
      </c>
      <c r="C38" s="3" t="s">
        <v>93</v>
      </c>
      <c r="D38" s="3" t="s">
        <v>160</v>
      </c>
      <c r="E38" s="3" t="s">
        <v>30</v>
      </c>
      <c r="F38" s="3" t="s">
        <v>31</v>
      </c>
      <c r="G38" s="3" t="s">
        <v>161</v>
      </c>
      <c r="H38" s="4">
        <v>23500</v>
      </c>
      <c r="I38" s="4">
        <v>29500</v>
      </c>
      <c r="J38" s="4">
        <f t="shared" si="2"/>
        <v>6000</v>
      </c>
      <c r="K38" s="5">
        <v>22</v>
      </c>
      <c r="L38" s="5">
        <v>7</v>
      </c>
      <c r="M38" s="4">
        <f t="shared" si="3"/>
        <v>649000</v>
      </c>
      <c r="N38" s="3" t="s">
        <v>22</v>
      </c>
    </row>
    <row r="39" spans="1:14">
      <c r="A39" s="3" t="s">
        <v>162</v>
      </c>
      <c r="B39" s="3" t="s">
        <v>132</v>
      </c>
      <c r="C39" s="3" t="s">
        <v>163</v>
      </c>
      <c r="D39" s="3" t="s">
        <v>164</v>
      </c>
      <c r="E39" s="3" t="s">
        <v>30</v>
      </c>
      <c r="F39" s="3" t="s">
        <v>31</v>
      </c>
      <c r="G39" s="3" t="s">
        <v>165</v>
      </c>
      <c r="H39" s="4">
        <v>17000</v>
      </c>
      <c r="I39" s="4">
        <v>22000</v>
      </c>
      <c r="J39" s="4">
        <f t="shared" si="2"/>
        <v>5000</v>
      </c>
      <c r="K39" s="5">
        <v>35</v>
      </c>
      <c r="L39" s="5">
        <v>12</v>
      </c>
      <c r="M39" s="4">
        <f t="shared" si="3"/>
        <v>770000</v>
      </c>
      <c r="N39" s="3" t="s">
        <v>22</v>
      </c>
    </row>
    <row r="40" spans="1:14">
      <c r="A40" s="3" t="s">
        <v>166</v>
      </c>
      <c r="B40" s="3" t="s">
        <v>132</v>
      </c>
      <c r="C40" s="3" t="s">
        <v>167</v>
      </c>
      <c r="D40" s="3" t="s">
        <v>168</v>
      </c>
      <c r="E40" s="3" t="s">
        <v>30</v>
      </c>
      <c r="F40" s="3" t="s">
        <v>31</v>
      </c>
      <c r="G40" s="3" t="s">
        <v>169</v>
      </c>
      <c r="H40" s="4">
        <v>19000</v>
      </c>
      <c r="I40" s="4">
        <v>24500</v>
      </c>
      <c r="J40" s="4">
        <f t="shared" si="2"/>
        <v>5500</v>
      </c>
      <c r="K40" s="5">
        <v>30</v>
      </c>
      <c r="L40" s="5">
        <v>10</v>
      </c>
      <c r="M40" s="4">
        <f t="shared" si="3"/>
        <v>735000</v>
      </c>
      <c r="N40" s="3" t="s">
        <v>22</v>
      </c>
    </row>
    <row r="41" spans="1:14">
      <c r="A41" s="3" t="s">
        <v>170</v>
      </c>
      <c r="B41" s="3" t="s">
        <v>132</v>
      </c>
      <c r="C41" s="3" t="s">
        <v>171</v>
      </c>
      <c r="D41" s="3" t="s">
        <v>172</v>
      </c>
      <c r="E41" s="3" t="s">
        <v>30</v>
      </c>
      <c r="F41" s="3" t="s">
        <v>31</v>
      </c>
      <c r="G41" s="3" t="s">
        <v>173</v>
      </c>
      <c r="H41" s="4">
        <v>14500</v>
      </c>
      <c r="I41" s="4">
        <v>19000</v>
      </c>
      <c r="J41" s="4">
        <f t="shared" si="2"/>
        <v>4500</v>
      </c>
      <c r="K41" s="5">
        <v>40</v>
      </c>
      <c r="L41" s="5">
        <v>12</v>
      </c>
      <c r="M41" s="4">
        <f t="shared" si="3"/>
        <v>760000</v>
      </c>
      <c r="N41" s="3" t="s">
        <v>22</v>
      </c>
    </row>
    <row r="42" spans="1:14">
      <c r="A42" s="3" t="s">
        <v>174</v>
      </c>
      <c r="B42" s="3" t="s">
        <v>175</v>
      </c>
      <c r="C42" s="3" t="s">
        <v>176</v>
      </c>
      <c r="D42" s="3" t="s">
        <v>177</v>
      </c>
      <c r="E42" s="3" t="s">
        <v>178</v>
      </c>
      <c r="F42" s="3" t="s">
        <v>179</v>
      </c>
      <c r="G42" s="3" t="s">
        <v>180</v>
      </c>
      <c r="H42" s="4">
        <v>82000</v>
      </c>
      <c r="I42" s="4">
        <v>98000</v>
      </c>
      <c r="J42" s="4">
        <f t="shared" si="2"/>
        <v>16000</v>
      </c>
      <c r="K42" s="5">
        <v>10</v>
      </c>
      <c r="L42" s="5">
        <v>3</v>
      </c>
      <c r="M42" s="4">
        <f t="shared" si="3"/>
        <v>980000</v>
      </c>
      <c r="N42" s="3" t="s">
        <v>22</v>
      </c>
    </row>
    <row r="43" spans="1:14">
      <c r="A43" s="3" t="s">
        <v>181</v>
      </c>
      <c r="B43" s="3" t="s">
        <v>175</v>
      </c>
      <c r="C43" s="3" t="s">
        <v>182</v>
      </c>
      <c r="D43" s="3" t="s">
        <v>183</v>
      </c>
      <c r="E43" s="3" t="s">
        <v>178</v>
      </c>
      <c r="F43" s="3" t="s">
        <v>179</v>
      </c>
      <c r="G43" s="3" t="s">
        <v>184</v>
      </c>
      <c r="H43" s="4">
        <v>21000</v>
      </c>
      <c r="I43" s="4">
        <v>28500</v>
      </c>
      <c r="J43" s="4">
        <f t="shared" si="2"/>
        <v>7500</v>
      </c>
      <c r="K43" s="5">
        <v>30</v>
      </c>
      <c r="L43" s="5">
        <v>10</v>
      </c>
      <c r="M43" s="4">
        <f t="shared" si="3"/>
        <v>855000</v>
      </c>
      <c r="N43" s="3" t="s">
        <v>22</v>
      </c>
    </row>
    <row r="44" spans="1:14">
      <c r="A44" s="3" t="s">
        <v>185</v>
      </c>
      <c r="B44" s="3" t="s">
        <v>175</v>
      </c>
      <c r="C44" s="3" t="s">
        <v>56</v>
      </c>
      <c r="D44" s="3" t="s">
        <v>186</v>
      </c>
      <c r="E44" s="3" t="s">
        <v>48</v>
      </c>
      <c r="F44" s="3" t="s">
        <v>49</v>
      </c>
      <c r="G44" s="3" t="s">
        <v>187</v>
      </c>
      <c r="H44" s="4">
        <v>32000</v>
      </c>
      <c r="I44" s="4">
        <v>39500</v>
      </c>
      <c r="J44" s="4">
        <f t="shared" si="2"/>
        <v>7500</v>
      </c>
      <c r="K44" s="5">
        <v>25</v>
      </c>
      <c r="L44" s="5">
        <v>8</v>
      </c>
      <c r="M44" s="4">
        <f t="shared" si="3"/>
        <v>987500</v>
      </c>
      <c r="N44" s="3" t="s">
        <v>22</v>
      </c>
    </row>
    <row r="45" spans="1:14">
      <c r="A45" s="3" t="s">
        <v>188</v>
      </c>
      <c r="B45" s="3" t="s">
        <v>175</v>
      </c>
      <c r="C45" s="3" t="s">
        <v>17</v>
      </c>
      <c r="D45" s="3" t="s">
        <v>189</v>
      </c>
      <c r="E45" s="3" t="s">
        <v>48</v>
      </c>
      <c r="F45" s="3" t="s">
        <v>49</v>
      </c>
      <c r="G45" s="3" t="s">
        <v>190</v>
      </c>
      <c r="H45" s="4">
        <v>58000</v>
      </c>
      <c r="I45" s="4">
        <v>69000</v>
      </c>
      <c r="J45" s="4">
        <f t="shared" si="2"/>
        <v>11000</v>
      </c>
      <c r="K45" s="5">
        <v>20</v>
      </c>
      <c r="L45" s="5">
        <v>6</v>
      </c>
      <c r="M45" s="4">
        <f t="shared" si="3"/>
        <v>1380000</v>
      </c>
      <c r="N45" s="3" t="s">
        <v>22</v>
      </c>
    </row>
    <row r="46" spans="1:14">
      <c r="A46" s="3" t="s">
        <v>191</v>
      </c>
      <c r="B46" s="3" t="s">
        <v>175</v>
      </c>
      <c r="C46" s="3" t="s">
        <v>192</v>
      </c>
      <c r="D46" s="3" t="s">
        <v>193</v>
      </c>
      <c r="E46" s="3" t="s">
        <v>178</v>
      </c>
      <c r="F46" s="3" t="s">
        <v>179</v>
      </c>
      <c r="G46" s="3" t="s">
        <v>194</v>
      </c>
      <c r="H46" s="4">
        <v>42000</v>
      </c>
      <c r="I46" s="4">
        <v>52000</v>
      </c>
      <c r="J46" s="4">
        <f t="shared" si="2"/>
        <v>10000</v>
      </c>
      <c r="K46" s="5">
        <v>15</v>
      </c>
      <c r="L46" s="5">
        <v>5</v>
      </c>
      <c r="M46" s="4">
        <f t="shared" si="3"/>
        <v>780000</v>
      </c>
      <c r="N46" s="3" t="s">
        <v>22</v>
      </c>
    </row>
    <row r="47" spans="1:14">
      <c r="A47" s="3" t="s">
        <v>195</v>
      </c>
      <c r="B47" s="3" t="s">
        <v>175</v>
      </c>
      <c r="C47" s="3" t="s">
        <v>196</v>
      </c>
      <c r="D47" s="3" t="s">
        <v>197</v>
      </c>
      <c r="E47" s="3" t="s">
        <v>178</v>
      </c>
      <c r="F47" s="3" t="s">
        <v>179</v>
      </c>
      <c r="G47" s="3" t="s">
        <v>198</v>
      </c>
      <c r="H47" s="4">
        <v>92000</v>
      </c>
      <c r="I47" s="4">
        <v>108000</v>
      </c>
      <c r="J47" s="4">
        <f t="shared" si="2"/>
        <v>16000</v>
      </c>
      <c r="K47" s="5">
        <v>7</v>
      </c>
      <c r="L47" s="5">
        <v>2</v>
      </c>
      <c r="M47" s="4">
        <f t="shared" si="3"/>
        <v>756000</v>
      </c>
      <c r="N47" s="3" t="s">
        <v>22</v>
      </c>
    </row>
    <row r="48" spans="1:14">
      <c r="A48" s="3" t="s">
        <v>199</v>
      </c>
      <c r="B48" s="3" t="s">
        <v>175</v>
      </c>
      <c r="C48" s="3" t="s">
        <v>200</v>
      </c>
      <c r="D48" s="3" t="s">
        <v>201</v>
      </c>
      <c r="E48" s="3" t="s">
        <v>178</v>
      </c>
      <c r="F48" s="3" t="s">
        <v>179</v>
      </c>
      <c r="G48" s="3" t="s">
        <v>202</v>
      </c>
      <c r="H48" s="4">
        <v>78000</v>
      </c>
      <c r="I48" s="4">
        <v>92500</v>
      </c>
      <c r="J48" s="4">
        <f t="shared" si="2"/>
        <v>14500</v>
      </c>
      <c r="K48" s="5">
        <v>8</v>
      </c>
      <c r="L48" s="5">
        <v>3</v>
      </c>
      <c r="M48" s="4">
        <f t="shared" si="3"/>
        <v>740000</v>
      </c>
      <c r="N48" s="3" t="s">
        <v>22</v>
      </c>
    </row>
    <row r="49" spans="1:14">
      <c r="A49" s="3" t="s">
        <v>203</v>
      </c>
      <c r="B49" s="3" t="s">
        <v>175</v>
      </c>
      <c r="C49" s="3" t="s">
        <v>204</v>
      </c>
      <c r="D49" s="3" t="s">
        <v>205</v>
      </c>
      <c r="E49" s="3" t="s">
        <v>178</v>
      </c>
      <c r="F49" s="3" t="s">
        <v>179</v>
      </c>
      <c r="G49" s="3" t="s">
        <v>206</v>
      </c>
      <c r="H49" s="4">
        <v>28000</v>
      </c>
      <c r="I49" s="4">
        <v>36000</v>
      </c>
      <c r="J49" s="4">
        <f t="shared" si="2"/>
        <v>8000</v>
      </c>
      <c r="K49" s="5">
        <v>18</v>
      </c>
      <c r="L49" s="5">
        <v>6</v>
      </c>
      <c r="M49" s="4">
        <f t="shared" si="3"/>
        <v>648000</v>
      </c>
      <c r="N49" s="3" t="s">
        <v>22</v>
      </c>
    </row>
    <row r="50" spans="1:14">
      <c r="A50" s="3" t="s">
        <v>207</v>
      </c>
      <c r="B50" s="3" t="s">
        <v>175</v>
      </c>
      <c r="C50" s="3" t="s">
        <v>208</v>
      </c>
      <c r="D50" s="3" t="s">
        <v>209</v>
      </c>
      <c r="E50" s="3" t="s">
        <v>178</v>
      </c>
      <c r="F50" s="3" t="s">
        <v>179</v>
      </c>
      <c r="G50" s="3" t="s">
        <v>210</v>
      </c>
      <c r="H50" s="4">
        <v>24000</v>
      </c>
      <c r="I50" s="4">
        <v>31000</v>
      </c>
      <c r="J50" s="4">
        <f t="shared" si="2"/>
        <v>7000</v>
      </c>
      <c r="K50" s="5">
        <v>22</v>
      </c>
      <c r="L50" s="5">
        <v>7</v>
      </c>
      <c r="M50" s="4">
        <f t="shared" si="3"/>
        <v>682000</v>
      </c>
      <c r="N50" s="3" t="s">
        <v>22</v>
      </c>
    </row>
    <row r="51" spans="1:14">
      <c r="A51" s="3" t="s">
        <v>211</v>
      </c>
      <c r="B51" s="3" t="s">
        <v>175</v>
      </c>
      <c r="C51" s="3" t="s">
        <v>212</v>
      </c>
      <c r="D51" s="3" t="s">
        <v>213</v>
      </c>
      <c r="E51" s="3" t="s">
        <v>30</v>
      </c>
      <c r="F51" s="3" t="s">
        <v>31</v>
      </c>
      <c r="G51" s="3" t="s">
        <v>214</v>
      </c>
      <c r="H51" s="4">
        <v>5500</v>
      </c>
      <c r="I51" s="4">
        <v>8500</v>
      </c>
      <c r="J51" s="4">
        <f t="shared" si="2"/>
        <v>3000</v>
      </c>
      <c r="K51" s="5">
        <v>55</v>
      </c>
      <c r="L51" s="5">
        <v>15</v>
      </c>
      <c r="M51" s="4">
        <f t="shared" si="3"/>
        <v>467500</v>
      </c>
      <c r="N51" s="3" t="s">
        <v>22</v>
      </c>
    </row>
    <row r="52" spans="1:14">
      <c r="A52" s="3" t="s">
        <v>215</v>
      </c>
      <c r="B52" s="3" t="s">
        <v>175</v>
      </c>
      <c r="C52" s="3" t="s">
        <v>216</v>
      </c>
      <c r="D52" s="3" t="s">
        <v>217</v>
      </c>
      <c r="E52" s="3" t="s">
        <v>178</v>
      </c>
      <c r="F52" s="3" t="s">
        <v>179</v>
      </c>
      <c r="G52" s="3" t="s">
        <v>218</v>
      </c>
      <c r="H52" s="4">
        <v>18500</v>
      </c>
      <c r="I52" s="4">
        <v>24500</v>
      </c>
      <c r="J52" s="4">
        <f t="shared" si="2"/>
        <v>6000</v>
      </c>
      <c r="K52" s="5">
        <v>28</v>
      </c>
      <c r="L52" s="5">
        <v>8</v>
      </c>
      <c r="M52" s="4">
        <f t="shared" si="3"/>
        <v>686000</v>
      </c>
      <c r="N52" s="3" t="s">
        <v>22</v>
      </c>
    </row>
    <row r="53" spans="1:14">
      <c r="A53" s="3" t="s">
        <v>219</v>
      </c>
      <c r="B53" s="3" t="s">
        <v>175</v>
      </c>
      <c r="C53" s="3" t="s">
        <v>60</v>
      </c>
      <c r="D53" s="3" t="s">
        <v>220</v>
      </c>
      <c r="E53" s="3" t="s">
        <v>178</v>
      </c>
      <c r="F53" s="3" t="s">
        <v>179</v>
      </c>
      <c r="G53" s="3" t="s">
        <v>221</v>
      </c>
      <c r="H53" s="4">
        <v>16000</v>
      </c>
      <c r="I53" s="4">
        <v>22000</v>
      </c>
      <c r="J53" s="4">
        <f t="shared" si="2"/>
        <v>6000</v>
      </c>
      <c r="K53" s="5">
        <v>25</v>
      </c>
      <c r="L53" s="5">
        <v>8</v>
      </c>
      <c r="M53" s="4">
        <f t="shared" si="3"/>
        <v>550000</v>
      </c>
      <c r="N53" s="3" t="s">
        <v>22</v>
      </c>
    </row>
    <row r="54" spans="1:14">
      <c r="A54" s="3" t="s">
        <v>222</v>
      </c>
      <c r="B54" s="3" t="s">
        <v>175</v>
      </c>
      <c r="C54" s="3" t="s">
        <v>223</v>
      </c>
      <c r="D54" s="3" t="s">
        <v>224</v>
      </c>
      <c r="E54" s="3" t="s">
        <v>178</v>
      </c>
      <c r="F54" s="3" t="s">
        <v>179</v>
      </c>
      <c r="G54" s="3" t="s">
        <v>225</v>
      </c>
      <c r="H54" s="4">
        <v>23000</v>
      </c>
      <c r="I54" s="4">
        <v>30500</v>
      </c>
      <c r="J54" s="4">
        <f t="shared" si="2"/>
        <v>7500</v>
      </c>
      <c r="K54" s="5">
        <v>20</v>
      </c>
      <c r="L54" s="5">
        <v>6</v>
      </c>
      <c r="M54" s="4">
        <f t="shared" si="3"/>
        <v>610000</v>
      </c>
      <c r="N54" s="3" t="s">
        <v>22</v>
      </c>
    </row>
    <row r="55" spans="1:14">
      <c r="A55" s="3" t="s">
        <v>226</v>
      </c>
      <c r="B55" s="3" t="s">
        <v>175</v>
      </c>
      <c r="C55" s="3" t="s">
        <v>227</v>
      </c>
      <c r="D55" s="3" t="s">
        <v>228</v>
      </c>
      <c r="E55" s="3" t="s">
        <v>30</v>
      </c>
      <c r="F55" s="3" t="s">
        <v>31</v>
      </c>
      <c r="G55" s="3" t="s">
        <v>229</v>
      </c>
      <c r="H55" s="4">
        <v>13000</v>
      </c>
      <c r="I55" s="4">
        <v>18000</v>
      </c>
      <c r="J55" s="4">
        <f t="shared" si="2"/>
        <v>5000</v>
      </c>
      <c r="K55" s="5">
        <v>35</v>
      </c>
      <c r="L55" s="5">
        <v>10</v>
      </c>
      <c r="M55" s="4">
        <f t="shared" si="3"/>
        <v>630000</v>
      </c>
      <c r="N55" s="3" t="s">
        <v>22</v>
      </c>
    </row>
  </sheetData>
  <mergeCells count="1">
    <mergeCell ref="A1:N1"/>
  </mergeCells>
  <conditionalFormatting sqref="J3:J55">
    <cfRule type="cellIs" dxfId="0" priority="2" operator="lessThan">
      <formula>0</formula>
    </cfRule>
  </conditionalFormatting>
  <conditionalFormatting sqref="K3:K55">
    <cfRule type="dataBar" priority="1">
      <dataBar>
        <cfvo type="min"/>
        <cfvo type="max"/>
        <color rgb="FF22C55E"/>
      </dataBar>
    </cfRule>
    <cfRule type="dataBar" priority="3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{FA955508-FDDB-0197-FFF4-6D0AF1D601C5}</x14:id>
        </ext>
      </extLst>
    </cfRule>
  </conditionalFormatting>
  <dataValidations count="2">
    <dataValidation type="list" sqref="N3:N55" xr:uid="{00000000-0002-0000-0000-000000000000}">
      <formula1>"Active,Inactive,Draft"</formula1>
    </dataValidation>
    <dataValidation type="list" sqref="B3:B55" xr:uid="{00000000-0002-0000-0000-000001000000}">
      <formula1>"Laptops,Mobiles,Smart Watches,Headphones"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955508-FDDB-0197-FFF4-6D0AF1D601C5}">
            <x14:dataBar>
              <x14:cfvo type="min"/>
              <x14:cfvo type="max"/>
              <x14:negativeFillColor auto="1"/>
              <x14:axisColor auto="1"/>
            </x14:dataBar>
          </x14:cfRule>
          <xm:sqref>K3:K55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>
      <selection sqref="A1:C1"/>
    </sheetView>
  </sheetViews>
  <sheetFormatPr defaultRowHeight="13.8"/>
  <cols>
    <col min="1" max="1" width="18" customWidth="1"/>
    <col min="2" max="2" width="22" customWidth="1"/>
    <col min="3" max="3" width="35" customWidth="1"/>
  </cols>
  <sheetData>
    <row r="1" spans="1:3" ht="19.2">
      <c r="A1" s="8" t="s">
        <v>230</v>
      </c>
      <c r="B1" s="8"/>
      <c r="C1" s="8"/>
    </row>
    <row r="2" spans="1:3">
      <c r="A2" s="1" t="s">
        <v>2</v>
      </c>
      <c r="B2" s="1" t="s">
        <v>3</v>
      </c>
      <c r="C2" s="1" t="s">
        <v>231</v>
      </c>
    </row>
    <row r="3" spans="1:3">
      <c r="A3" t="s">
        <v>16</v>
      </c>
      <c r="B3" t="s">
        <v>17</v>
      </c>
      <c r="C3" t="s">
        <v>18</v>
      </c>
    </row>
    <row r="4" spans="1:3">
      <c r="A4" t="s">
        <v>16</v>
      </c>
      <c r="B4" t="s">
        <v>24</v>
      </c>
      <c r="C4" t="s">
        <v>25</v>
      </c>
    </row>
    <row r="5" spans="1:3">
      <c r="A5" t="s">
        <v>16</v>
      </c>
      <c r="B5" t="s">
        <v>28</v>
      </c>
      <c r="C5" t="s">
        <v>29</v>
      </c>
    </row>
    <row r="6" spans="1:3">
      <c r="A6" t="s">
        <v>16</v>
      </c>
      <c r="B6" t="s">
        <v>34</v>
      </c>
      <c r="C6" t="s">
        <v>35</v>
      </c>
    </row>
    <row r="7" spans="1:3">
      <c r="A7" t="s">
        <v>16</v>
      </c>
      <c r="B7" t="s">
        <v>38</v>
      </c>
      <c r="C7" t="s">
        <v>39</v>
      </c>
    </row>
    <row r="8" spans="1:3">
      <c r="A8" t="s">
        <v>16</v>
      </c>
      <c r="B8" t="s">
        <v>42</v>
      </c>
      <c r="C8" t="s">
        <v>43</v>
      </c>
    </row>
    <row r="9" spans="1:3">
      <c r="A9" t="s">
        <v>16</v>
      </c>
      <c r="B9" t="s">
        <v>46</v>
      </c>
      <c r="C9" t="s">
        <v>47</v>
      </c>
    </row>
    <row r="10" spans="1:3">
      <c r="A10" t="s">
        <v>16</v>
      </c>
      <c r="B10" t="s">
        <v>52</v>
      </c>
      <c r="C10" t="s">
        <v>53</v>
      </c>
    </row>
    <row r="11" spans="1:3">
      <c r="A11" t="s">
        <v>16</v>
      </c>
      <c r="B11" t="s">
        <v>56</v>
      </c>
      <c r="C11" t="s">
        <v>57</v>
      </c>
    </row>
    <row r="12" spans="1:3">
      <c r="A12" t="s">
        <v>16</v>
      </c>
      <c r="B12" t="s">
        <v>60</v>
      </c>
      <c r="C12" t="s">
        <v>61</v>
      </c>
    </row>
    <row r="13" spans="1:3">
      <c r="A13" t="s">
        <v>16</v>
      </c>
      <c r="B13" t="s">
        <v>64</v>
      </c>
      <c r="C13" t="s">
        <v>65</v>
      </c>
    </row>
    <row r="14" spans="1:3">
      <c r="A14" t="s">
        <v>16</v>
      </c>
      <c r="B14" t="s">
        <v>68</v>
      </c>
      <c r="C14" t="s">
        <v>69</v>
      </c>
    </row>
    <row r="15" spans="1:3">
      <c r="A15" t="s">
        <v>72</v>
      </c>
      <c r="B15" t="s">
        <v>17</v>
      </c>
      <c r="C15" t="s">
        <v>73</v>
      </c>
    </row>
    <row r="16" spans="1:3">
      <c r="A16" t="s">
        <v>72</v>
      </c>
      <c r="B16" t="s">
        <v>56</v>
      </c>
      <c r="C16" t="s">
        <v>78</v>
      </c>
    </row>
    <row r="17" spans="1:3">
      <c r="A17" t="s">
        <v>72</v>
      </c>
      <c r="B17" t="s">
        <v>81</v>
      </c>
      <c r="C17" t="s">
        <v>82</v>
      </c>
    </row>
    <row r="18" spans="1:3">
      <c r="A18" t="s">
        <v>72</v>
      </c>
      <c r="B18" t="s">
        <v>85</v>
      </c>
      <c r="C18" t="s">
        <v>86</v>
      </c>
    </row>
    <row r="19" spans="1:3">
      <c r="A19" t="s">
        <v>72</v>
      </c>
      <c r="B19" t="s">
        <v>89</v>
      </c>
      <c r="C19" t="s">
        <v>90</v>
      </c>
    </row>
    <row r="20" spans="1:3">
      <c r="A20" t="s">
        <v>72</v>
      </c>
      <c r="B20" t="s">
        <v>93</v>
      </c>
      <c r="C20" t="s">
        <v>94</v>
      </c>
    </row>
    <row r="21" spans="1:3">
      <c r="A21" t="s">
        <v>72</v>
      </c>
      <c r="B21" t="s">
        <v>97</v>
      </c>
      <c r="C21" t="s">
        <v>98</v>
      </c>
    </row>
    <row r="22" spans="1:3">
      <c r="A22" t="s">
        <v>72</v>
      </c>
      <c r="B22" t="s">
        <v>101</v>
      </c>
      <c r="C22" t="s">
        <v>102</v>
      </c>
    </row>
    <row r="23" spans="1:3">
      <c r="A23" t="s">
        <v>72</v>
      </c>
      <c r="B23" t="s">
        <v>105</v>
      </c>
      <c r="C23" t="s">
        <v>106</v>
      </c>
    </row>
    <row r="24" spans="1:3">
      <c r="A24" t="s">
        <v>72</v>
      </c>
      <c r="B24" t="s">
        <v>109</v>
      </c>
      <c r="C24" t="s">
        <v>110</v>
      </c>
    </row>
    <row r="25" spans="1:3">
      <c r="A25" t="s">
        <v>72</v>
      </c>
      <c r="B25" t="s">
        <v>113</v>
      </c>
      <c r="C25" t="s">
        <v>114</v>
      </c>
    </row>
    <row r="26" spans="1:3">
      <c r="A26" t="s">
        <v>72</v>
      </c>
      <c r="B26" t="s">
        <v>117</v>
      </c>
      <c r="C26" t="s">
        <v>118</v>
      </c>
    </row>
    <row r="27" spans="1:3">
      <c r="A27" t="s">
        <v>72</v>
      </c>
      <c r="B27" t="s">
        <v>121</v>
      </c>
      <c r="C27" t="s">
        <v>122</v>
      </c>
    </row>
    <row r="28" spans="1:3">
      <c r="A28" t="s">
        <v>72</v>
      </c>
      <c r="B28" t="s">
        <v>125</v>
      </c>
      <c r="C28" t="s">
        <v>126</v>
      </c>
    </row>
    <row r="29" spans="1:3">
      <c r="A29" t="s">
        <v>72</v>
      </c>
      <c r="B29" t="s">
        <v>68</v>
      </c>
      <c r="C29" t="s">
        <v>129</v>
      </c>
    </row>
    <row r="30" spans="1:3">
      <c r="A30" t="s">
        <v>132</v>
      </c>
      <c r="B30" t="s">
        <v>17</v>
      </c>
      <c r="C30" t="s">
        <v>133</v>
      </c>
    </row>
    <row r="31" spans="1:3">
      <c r="A31" t="s">
        <v>132</v>
      </c>
      <c r="B31" t="s">
        <v>56</v>
      </c>
      <c r="C31" t="s">
        <v>136</v>
      </c>
    </row>
    <row r="32" spans="1:3">
      <c r="A32" t="s">
        <v>132</v>
      </c>
      <c r="B32" t="s">
        <v>68</v>
      </c>
      <c r="C32" t="s">
        <v>139</v>
      </c>
    </row>
    <row r="33" spans="1:3">
      <c r="A33" t="s">
        <v>132</v>
      </c>
      <c r="B33" t="s">
        <v>81</v>
      </c>
      <c r="C33" t="s">
        <v>142</v>
      </c>
    </row>
    <row r="34" spans="1:3">
      <c r="A34" t="s">
        <v>132</v>
      </c>
      <c r="B34" t="s">
        <v>145</v>
      </c>
      <c r="C34" t="s">
        <v>146</v>
      </c>
    </row>
    <row r="35" spans="1:3">
      <c r="A35" t="s">
        <v>132</v>
      </c>
      <c r="B35" t="s">
        <v>149</v>
      </c>
      <c r="C35" t="s">
        <v>150</v>
      </c>
    </row>
    <row r="36" spans="1:3">
      <c r="A36" t="s">
        <v>132</v>
      </c>
      <c r="B36" t="s">
        <v>153</v>
      </c>
      <c r="C36" t="s">
        <v>154</v>
      </c>
    </row>
    <row r="37" spans="1:3">
      <c r="A37" t="s">
        <v>132</v>
      </c>
      <c r="B37" t="s">
        <v>89</v>
      </c>
      <c r="C37" t="s">
        <v>157</v>
      </c>
    </row>
    <row r="38" spans="1:3">
      <c r="A38" t="s">
        <v>132</v>
      </c>
      <c r="B38" t="s">
        <v>93</v>
      </c>
      <c r="C38" t="s">
        <v>160</v>
      </c>
    </row>
    <row r="39" spans="1:3">
      <c r="A39" t="s">
        <v>132</v>
      </c>
      <c r="B39" t="s">
        <v>163</v>
      </c>
      <c r="C39" t="s">
        <v>164</v>
      </c>
    </row>
    <row r="40" spans="1:3">
      <c r="A40" t="s">
        <v>132</v>
      </c>
      <c r="B40" t="s">
        <v>167</v>
      </c>
      <c r="C40" t="s">
        <v>168</v>
      </c>
    </row>
    <row r="41" spans="1:3">
      <c r="A41" t="s">
        <v>132</v>
      </c>
      <c r="B41" t="s">
        <v>171</v>
      </c>
      <c r="C41" t="s">
        <v>172</v>
      </c>
    </row>
    <row r="42" spans="1:3">
      <c r="A42" t="s">
        <v>175</v>
      </c>
      <c r="B42" t="s">
        <v>176</v>
      </c>
      <c r="C42" t="s">
        <v>177</v>
      </c>
    </row>
    <row r="43" spans="1:3">
      <c r="A43" t="s">
        <v>175</v>
      </c>
      <c r="B43" t="s">
        <v>182</v>
      </c>
      <c r="C43" t="s">
        <v>183</v>
      </c>
    </row>
    <row r="44" spans="1:3">
      <c r="A44" t="s">
        <v>175</v>
      </c>
      <c r="B44" t="s">
        <v>56</v>
      </c>
      <c r="C44" t="s">
        <v>186</v>
      </c>
    </row>
    <row r="45" spans="1:3">
      <c r="A45" t="s">
        <v>175</v>
      </c>
      <c r="B45" t="s">
        <v>17</v>
      </c>
      <c r="C45" t="s">
        <v>189</v>
      </c>
    </row>
    <row r="46" spans="1:3">
      <c r="A46" t="s">
        <v>175</v>
      </c>
      <c r="B46" t="s">
        <v>192</v>
      </c>
      <c r="C46" t="s">
        <v>193</v>
      </c>
    </row>
    <row r="47" spans="1:3">
      <c r="A47" t="s">
        <v>175</v>
      </c>
      <c r="B47" t="s">
        <v>196</v>
      </c>
      <c r="C47" t="s">
        <v>197</v>
      </c>
    </row>
    <row r="48" spans="1:3">
      <c r="A48" t="s">
        <v>175</v>
      </c>
      <c r="B48" t="s">
        <v>200</v>
      </c>
      <c r="C48" t="s">
        <v>201</v>
      </c>
    </row>
    <row r="49" spans="1:3">
      <c r="A49" t="s">
        <v>175</v>
      </c>
      <c r="B49" t="s">
        <v>204</v>
      </c>
      <c r="C49" t="s">
        <v>205</v>
      </c>
    </row>
    <row r="50" spans="1:3">
      <c r="A50" t="s">
        <v>175</v>
      </c>
      <c r="B50" t="s">
        <v>208</v>
      </c>
      <c r="C50" t="s">
        <v>209</v>
      </c>
    </row>
    <row r="51" spans="1:3">
      <c r="A51" t="s">
        <v>175</v>
      </c>
      <c r="B51" t="s">
        <v>212</v>
      </c>
      <c r="C51" t="s">
        <v>213</v>
      </c>
    </row>
    <row r="52" spans="1:3">
      <c r="A52" t="s">
        <v>175</v>
      </c>
      <c r="B52" t="s">
        <v>216</v>
      </c>
      <c r="C52" t="s">
        <v>217</v>
      </c>
    </row>
    <row r="53" spans="1:3">
      <c r="A53" t="s">
        <v>175</v>
      </c>
      <c r="B53" t="s">
        <v>60</v>
      </c>
      <c r="C53" t="s">
        <v>220</v>
      </c>
    </row>
    <row r="54" spans="1:3">
      <c r="A54" t="s">
        <v>175</v>
      </c>
      <c r="B54" t="s">
        <v>223</v>
      </c>
      <c r="C54" t="s">
        <v>224</v>
      </c>
    </row>
    <row r="55" spans="1:3">
      <c r="A55" t="s">
        <v>175</v>
      </c>
      <c r="B55" t="s">
        <v>227</v>
      </c>
      <c r="C55" t="s">
        <v>228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D4" sqref="D4"/>
    </sheetView>
  </sheetViews>
  <sheetFormatPr defaultRowHeight="13.8"/>
  <cols>
    <col min="1" max="1" width="8.8984375" customWidth="1"/>
    <col min="2" max="2" width="26" customWidth="1"/>
    <col min="3" max="3" width="8.09765625" customWidth="1"/>
    <col min="4" max="4" width="28" customWidth="1"/>
    <col min="5" max="5" width="11.3984375" customWidth="1"/>
    <col min="6" max="6" width="26" customWidth="1"/>
  </cols>
  <sheetData>
    <row r="1" spans="1:6" ht="19.2">
      <c r="A1" s="8" t="s">
        <v>232</v>
      </c>
      <c r="B1" s="8"/>
      <c r="C1" s="8"/>
      <c r="D1" s="8"/>
      <c r="E1" s="8"/>
      <c r="F1" s="8"/>
    </row>
    <row r="2" spans="1:6">
      <c r="A2" s="1" t="s">
        <v>5</v>
      </c>
      <c r="B2" s="1" t="s">
        <v>6</v>
      </c>
      <c r="C2" s="1" t="s">
        <v>233</v>
      </c>
      <c r="D2" s="1" t="s">
        <v>234</v>
      </c>
      <c r="E2" s="1" t="s">
        <v>235</v>
      </c>
      <c r="F2" s="1" t="s">
        <v>236</v>
      </c>
    </row>
    <row r="3" spans="1:6">
      <c r="A3" t="s">
        <v>19</v>
      </c>
      <c r="B3" t="s">
        <v>20</v>
      </c>
      <c r="C3" t="s">
        <v>237</v>
      </c>
      <c r="D3" t="s">
        <v>238</v>
      </c>
      <c r="E3" t="s">
        <v>239</v>
      </c>
      <c r="F3" t="s">
        <v>240</v>
      </c>
    </row>
    <row r="4" spans="1:6">
      <c r="A4" t="s">
        <v>74</v>
      </c>
      <c r="B4" t="s">
        <v>75</v>
      </c>
      <c r="C4" t="s">
        <v>241</v>
      </c>
      <c r="D4" s="9" t="s">
        <v>242</v>
      </c>
      <c r="E4" t="s">
        <v>243</v>
      </c>
      <c r="F4" t="s">
        <v>72</v>
      </c>
    </row>
    <row r="5" spans="1:6">
      <c r="A5" t="s">
        <v>178</v>
      </c>
      <c r="B5" t="s">
        <v>179</v>
      </c>
      <c r="C5" t="s">
        <v>237</v>
      </c>
      <c r="D5" t="s">
        <v>244</v>
      </c>
      <c r="E5" t="s">
        <v>245</v>
      </c>
      <c r="F5" t="s">
        <v>175</v>
      </c>
    </row>
    <row r="6" spans="1:6">
      <c r="A6" t="s">
        <v>48</v>
      </c>
      <c r="B6" t="s">
        <v>49</v>
      </c>
      <c r="C6" t="s">
        <v>246</v>
      </c>
      <c r="D6" t="s">
        <v>247</v>
      </c>
      <c r="E6" t="s">
        <v>248</v>
      </c>
      <c r="F6" t="s">
        <v>249</v>
      </c>
    </row>
    <row r="7" spans="1:6">
      <c r="A7" t="s">
        <v>30</v>
      </c>
      <c r="B7" t="s">
        <v>31</v>
      </c>
      <c r="C7" t="s">
        <v>237</v>
      </c>
      <c r="D7" t="s">
        <v>250</v>
      </c>
      <c r="E7" t="s">
        <v>251</v>
      </c>
      <c r="F7" t="s">
        <v>249</v>
      </c>
    </row>
  </sheetData>
  <mergeCells count="1">
    <mergeCell ref="A1:F1"/>
  </mergeCells>
  <hyperlinks>
    <hyperlink ref="D4" r:id="rId1" xr:uid="{5AB4F58F-F63E-46A7-BBF7-26EF78F5FA42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sqref="A1:H1"/>
    </sheetView>
  </sheetViews>
  <sheetFormatPr defaultRowHeight="13.8"/>
  <cols>
    <col min="1" max="1" width="28" customWidth="1"/>
    <col min="2" max="2" width="11.8984375" customWidth="1"/>
    <col min="3" max="3" width="8.69921875" customWidth="1"/>
    <col min="4" max="4" width="13.5" customWidth="1"/>
    <col min="5" max="5" width="16.19921875" customWidth="1"/>
  </cols>
  <sheetData>
    <row r="1" spans="1:8" ht="19.2">
      <c r="A1" s="8" t="s">
        <v>252</v>
      </c>
      <c r="B1" s="8"/>
      <c r="C1" s="8"/>
      <c r="D1" s="8"/>
      <c r="E1" s="8"/>
      <c r="F1" s="8"/>
      <c r="G1" s="8"/>
      <c r="H1" s="8"/>
    </row>
    <row r="3" spans="1:8">
      <c r="A3" s="1" t="s">
        <v>2</v>
      </c>
      <c r="B3" s="1" t="s">
        <v>253</v>
      </c>
      <c r="C3" s="1" t="s">
        <v>254</v>
      </c>
      <c r="D3" s="1" t="s">
        <v>255</v>
      </c>
      <c r="E3" s="1" t="s">
        <v>256</v>
      </c>
    </row>
    <row r="4" spans="1:8">
      <c r="A4" t="s">
        <v>16</v>
      </c>
      <c r="B4">
        <f>COUNTIF('All Brand Products'!$B$3:$B$55,A4)</f>
        <v>12</v>
      </c>
      <c r="C4">
        <f>SUMIF('All Brand Products'!$B$3:$B$55,A4,'All Brand Products'!$K$3:$K$55)</f>
        <v>91</v>
      </c>
      <c r="D4" s="6">
        <f>SUMIF('All Brand Products'!$B$3:$B$55,A4,'All Brand Products'!$M$3:$M$55)</f>
        <v>22726000</v>
      </c>
      <c r="E4" s="6">
        <f>AVERAGEIF('All Brand Products'!$B$3:$B$55,A4,'All Brand Products'!$I$3:$I$55)</f>
        <v>274666.66666666669</v>
      </c>
    </row>
    <row r="5" spans="1:8">
      <c r="A5" t="s">
        <v>72</v>
      </c>
      <c r="B5">
        <f>COUNTIF('All Brand Products'!$B$3:$B$55,A5)</f>
        <v>15</v>
      </c>
      <c r="C5">
        <f>SUMIF('All Brand Products'!$B$3:$B$55,A5,'All Brand Products'!$K$3:$K$55)</f>
        <v>306</v>
      </c>
      <c r="D5" s="6">
        <f>SUMIF('All Brand Products'!$B$3:$B$55,A5,'All Brand Products'!$M$3:$M$55)</f>
        <v>39931000</v>
      </c>
      <c r="E5" s="6">
        <f>AVERAGEIF('All Brand Products'!$B$3:$B$55,A5,'All Brand Products'!$I$3:$I$55)</f>
        <v>162533.33333333334</v>
      </c>
    </row>
    <row r="6" spans="1:8">
      <c r="A6" t="s">
        <v>132</v>
      </c>
      <c r="B6">
        <f>COUNTIF('All Brand Products'!$B$3:$B$55,A6)</f>
        <v>12</v>
      </c>
      <c r="C6">
        <f>SUMIF('All Brand Products'!$B$3:$B$55,A6,'All Brand Products'!$K$3:$K$55)</f>
        <v>269</v>
      </c>
      <c r="D6" s="6">
        <f>SUMIF('All Brand Products'!$B$3:$B$55,A6,'All Brand Products'!$M$3:$M$55)</f>
        <v>11183500</v>
      </c>
      <c r="E6" s="6">
        <f>AVERAGEIF('All Brand Products'!$B$3:$B$55,A6,'All Brand Products'!$I$3:$I$55)</f>
        <v>54125</v>
      </c>
    </row>
    <row r="7" spans="1:8">
      <c r="A7" t="s">
        <v>175</v>
      </c>
      <c r="B7">
        <f>COUNTIF('All Brand Products'!$B$3:$B$55,A7)</f>
        <v>14</v>
      </c>
      <c r="C7">
        <f>SUMIF('All Brand Products'!$B$3:$B$55,A7,'All Brand Products'!$K$3:$K$55)</f>
        <v>318</v>
      </c>
      <c r="D7" s="6">
        <f>SUMIF('All Brand Products'!$B$3:$B$55,A7,'All Brand Products'!$M$3:$M$55)</f>
        <v>10752000</v>
      </c>
      <c r="E7" s="6">
        <f>AVERAGEIF('All Brand Products'!$B$3:$B$55,A7,'All Brand Products'!$I$3:$I$55)</f>
        <v>47000</v>
      </c>
    </row>
    <row r="10" spans="1:8">
      <c r="A10" s="1" t="s">
        <v>257</v>
      </c>
      <c r="B10" s="1" t="s">
        <v>258</v>
      </c>
      <c r="C10" s="1" t="s">
        <v>254</v>
      </c>
      <c r="D10" s="1" t="s">
        <v>13</v>
      </c>
    </row>
    <row r="11" spans="1:8">
      <c r="A11" t="s">
        <v>20</v>
      </c>
      <c r="B11">
        <f>COUNTIF('All Brand Products'!$F$3:$F$55,A11)</f>
        <v>6</v>
      </c>
      <c r="C11">
        <f>SUMIF('All Brand Products'!$F$3:$F$55,A11,'All Brand Products'!$K$3:$K$55)</f>
        <v>64</v>
      </c>
      <c r="D11" s="6">
        <f>SUMIF('All Brand Products'!$F$3:$F$55,A11,'All Brand Products'!$M$3:$M$55)</f>
        <v>11322000</v>
      </c>
    </row>
    <row r="12" spans="1:8">
      <c r="A12" t="s">
        <v>75</v>
      </c>
      <c r="B12">
        <f>COUNTIF('All Brand Products'!$F$3:$F$55,A12)</f>
        <v>8</v>
      </c>
      <c r="C12">
        <f>SUMIF('All Brand Products'!$F$3:$F$55,A12,'All Brand Products'!$K$3:$K$55)</f>
        <v>175</v>
      </c>
      <c r="D12" s="6">
        <f>SUMIF('All Brand Products'!$F$3:$F$55,A12,'All Brand Products'!$M$3:$M$55)</f>
        <v>25538000</v>
      </c>
    </row>
    <row r="13" spans="1:8">
      <c r="A13" t="s">
        <v>179</v>
      </c>
      <c r="B13">
        <f>COUNTIF('All Brand Products'!$F$3:$F$55,A13)</f>
        <v>10</v>
      </c>
      <c r="C13">
        <f>SUMIF('All Brand Products'!$F$3:$F$55,A13,'All Brand Products'!$K$3:$K$55)</f>
        <v>183</v>
      </c>
      <c r="D13" s="6">
        <f>SUMIF('All Brand Products'!$F$3:$F$55,A13,'All Brand Products'!$M$3:$M$55)</f>
        <v>7287000</v>
      </c>
    </row>
    <row r="14" spans="1:8">
      <c r="A14" t="s">
        <v>49</v>
      </c>
      <c r="B14">
        <f>COUNTIF('All Brand Products'!$F$3:$F$55,A14)</f>
        <v>15</v>
      </c>
      <c r="C14">
        <f>SUMIF('All Brand Products'!$F$3:$F$55,A14,'All Brand Products'!$K$3:$K$55)</f>
        <v>157</v>
      </c>
      <c r="D14" s="6">
        <f>SUMIF('All Brand Products'!$F$3:$F$55,A14,'All Brand Products'!$M$3:$M$55)</f>
        <v>21500500</v>
      </c>
    </row>
    <row r="15" spans="1:8">
      <c r="A15" t="s">
        <v>31</v>
      </c>
      <c r="B15">
        <f>COUNTIF('All Brand Products'!$F$3:$F$55,A15)</f>
        <v>14</v>
      </c>
      <c r="C15">
        <f>SUMIF('All Brand Products'!$F$3:$F$55,A15,'All Brand Products'!$K$3:$K$55)</f>
        <v>405</v>
      </c>
      <c r="D15" s="6">
        <f>SUMIF('All Brand Products'!$F$3:$F$55,A15,'All Brand Products'!$M$3:$M$55)</f>
        <v>18945000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Brand Products</vt:lpstr>
      <vt:lpstr>Brands by Category</vt:lpstr>
      <vt:lpstr>Suppliers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AbdulSamad</dc:creator>
  <cp:lastModifiedBy>AbdulSamad</cp:lastModifiedBy>
  <dcterms:created xsi:type="dcterms:W3CDTF">2026-06-20T21:11:15Z</dcterms:created>
  <dcterms:modified xsi:type="dcterms:W3CDTF">2026-06-21T22:13:58Z</dcterms:modified>
</cp:coreProperties>
</file>