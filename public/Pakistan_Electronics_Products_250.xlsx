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Ecommerce\public\"/>
    </mc:Choice>
  </mc:AlternateContent>
  <xr:revisionPtr revIDLastSave="0" documentId="8_{48934334-DB8E-4323-BEF8-06BA38FDFE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  <sheet name="Category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2" l="1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H9" i="2"/>
  <c r="E9" i="2"/>
  <c r="D9" i="2"/>
  <c r="C9" i="2"/>
  <c r="B9" i="2"/>
  <c r="H8" i="2"/>
  <c r="E8" i="2"/>
  <c r="D8" i="2"/>
  <c r="C8" i="2"/>
  <c r="B8" i="2"/>
  <c r="H7" i="2"/>
  <c r="E7" i="2"/>
  <c r="D7" i="2"/>
  <c r="C7" i="2"/>
  <c r="B7" i="2"/>
  <c r="H6" i="2"/>
  <c r="E6" i="2"/>
  <c r="D6" i="2"/>
  <c r="C6" i="2"/>
  <c r="B6" i="2"/>
  <c r="H5" i="2"/>
  <c r="E5" i="2"/>
  <c r="D5" i="2"/>
  <c r="C5" i="2"/>
  <c r="B5" i="2"/>
</calcChain>
</file>

<file path=xl/sharedStrings.xml><?xml version="1.0" encoding="utf-8"?>
<sst xmlns="http://schemas.openxmlformats.org/spreadsheetml/2006/main" count="1299" uniqueCount="656">
  <si>
    <t>Pakistan Electronics Product Catalog</t>
  </si>
  <si>
    <t>250 products across 25 electronics and appliance categories</t>
  </si>
  <si>
    <t>Prices are sample Pakistan retail estimates in PKR for database/import practice; they are not live quotations.</t>
  </si>
  <si>
    <t>ID</t>
  </si>
  <si>
    <t>SKU</t>
  </si>
  <si>
    <t>Product Name</t>
  </si>
  <si>
    <t>Brand</t>
  </si>
  <si>
    <t>Category</t>
  </si>
  <si>
    <t>Price (PKR)</t>
  </si>
  <si>
    <t>Currency</t>
  </si>
  <si>
    <t>PK-ELEC-0001</t>
  </si>
  <si>
    <t>Samsung Galaxy A16 5G</t>
  </si>
  <si>
    <t>Samsung</t>
  </si>
  <si>
    <t>Smartphones</t>
  </si>
  <si>
    <t>PKR</t>
  </si>
  <si>
    <t>PK-ELEC-0002</t>
  </si>
  <si>
    <t>Samsung Galaxy S25 Ultra</t>
  </si>
  <si>
    <t>PK-ELEC-0003</t>
  </si>
  <si>
    <t>Apple iPhone 16 128GB</t>
  </si>
  <si>
    <t>Apple</t>
  </si>
  <si>
    <t>PK-ELEC-0004</t>
  </si>
  <si>
    <t>Apple iPhone 16 Pro Max 512GB</t>
  </si>
  <si>
    <t>PK-ELEC-0005</t>
  </si>
  <si>
    <t>Xiaomi Redmi Note 14 Pro</t>
  </si>
  <si>
    <t>Xiaomi</t>
  </si>
  <si>
    <t>PK-ELEC-0006</t>
  </si>
  <si>
    <t>Infinix Note 50 Pro</t>
  </si>
  <si>
    <t>Infinix</t>
  </si>
  <si>
    <t>PK-ELEC-0007</t>
  </si>
  <si>
    <t>Tecno Camon 40 Pro</t>
  </si>
  <si>
    <t>Tecno</t>
  </si>
  <si>
    <t>PK-ELEC-0008</t>
  </si>
  <si>
    <t>Vivo V50</t>
  </si>
  <si>
    <t>Vivo</t>
  </si>
  <si>
    <t>PK-ELEC-0009</t>
  </si>
  <si>
    <t>Oppo Reno 13</t>
  </si>
  <si>
    <t>Oppo</t>
  </si>
  <si>
    <t>PK-ELEC-0010</t>
  </si>
  <si>
    <t>Realme 14 Pro Plus</t>
  </si>
  <si>
    <t>Realme</t>
  </si>
  <si>
    <t>PK-ELEC-0011</t>
  </si>
  <si>
    <t>HP 15-fd0132wm Core i5</t>
  </si>
  <si>
    <t>HP</t>
  </si>
  <si>
    <t>Laptops</t>
  </si>
  <si>
    <t>PK-ELEC-0012</t>
  </si>
  <si>
    <t>Dell Inspiron 15 3530</t>
  </si>
  <si>
    <t>Dell</t>
  </si>
  <si>
    <t>PK-ELEC-0013</t>
  </si>
  <si>
    <t>Lenovo IdeaPad Slim 3</t>
  </si>
  <si>
    <t>Lenovo</t>
  </si>
  <si>
    <t>PK-ELEC-0014</t>
  </si>
  <si>
    <t>ASUS VivoBook 15 X1504</t>
  </si>
  <si>
    <t>ASUS</t>
  </si>
  <si>
    <t>PK-ELEC-0015</t>
  </si>
  <si>
    <t>Acer Aspire 5 A515</t>
  </si>
  <si>
    <t>Acer</t>
  </si>
  <si>
    <t>PK-ELEC-0016</t>
  </si>
  <si>
    <t>Apple MacBook Air 13 M4</t>
  </si>
  <si>
    <t>PK-ELEC-0017</t>
  </si>
  <si>
    <t>MSI Thin 15 B13UC</t>
  </si>
  <si>
    <t>MSI</t>
  </si>
  <si>
    <t>PK-ELEC-0018</t>
  </si>
  <si>
    <t>Microsoft Surface Laptop 7</t>
  </si>
  <si>
    <t>Microsoft</t>
  </si>
  <si>
    <t>PK-ELEC-0019</t>
  </si>
  <si>
    <t>Huawei MateBook D16</t>
  </si>
  <si>
    <t>Huawei</t>
  </si>
  <si>
    <t>PK-ELEC-0020</t>
  </si>
  <si>
    <t>Razer Blade 15</t>
  </si>
  <si>
    <t>Razer</t>
  </si>
  <si>
    <t>PK-ELEC-0021</t>
  </si>
  <si>
    <t>Apple iPad 11th Gen 128GB</t>
  </si>
  <si>
    <t>Tablets</t>
  </si>
  <si>
    <t>PK-ELEC-0022</t>
  </si>
  <si>
    <t>Samsung Galaxy Tab S10 Ultra</t>
  </si>
  <si>
    <t>PK-ELEC-0023</t>
  </si>
  <si>
    <t>Xiaomi Pad 7</t>
  </si>
  <si>
    <t>PK-ELEC-0024</t>
  </si>
  <si>
    <t>Huawei MatePad 11.5</t>
  </si>
  <si>
    <t>PK-ELEC-0025</t>
  </si>
  <si>
    <t>Lenovo Tab M11</t>
  </si>
  <si>
    <t>PK-ELEC-0026</t>
  </si>
  <si>
    <t>Honor Pad 9</t>
  </si>
  <si>
    <t>Honor</t>
  </si>
  <si>
    <t>PK-ELEC-0027</t>
  </si>
  <si>
    <t>Infinix Xpad</t>
  </si>
  <si>
    <t>PK-ELEC-0028</t>
  </si>
  <si>
    <t>Tecno MegaPad 11</t>
  </si>
  <si>
    <t>PK-ELEC-0029</t>
  </si>
  <si>
    <t>Amazon Fire HD 10</t>
  </si>
  <si>
    <t>Amazon</t>
  </si>
  <si>
    <t>PK-ELEC-0030</t>
  </si>
  <si>
    <t>Microsoft Surface Pro 11</t>
  </si>
  <si>
    <t>PK-ELEC-0031</t>
  </si>
  <si>
    <t>Samsung 55-inch Crystal UHD DU7000</t>
  </si>
  <si>
    <t>Smart TVs</t>
  </si>
  <si>
    <t>PK-ELEC-0032</t>
  </si>
  <si>
    <t>LG 55-inch QNED80</t>
  </si>
  <si>
    <t>LG</t>
  </si>
  <si>
    <t>PK-ELEC-0033</t>
  </si>
  <si>
    <t>Sony 55-inch Bravia 3</t>
  </si>
  <si>
    <t>Sony</t>
  </si>
  <si>
    <t>PK-ELEC-0034</t>
  </si>
  <si>
    <t>TCL 55-inch C655 QLED</t>
  </si>
  <si>
    <t>TCL</t>
  </si>
  <si>
    <t>PK-ELEC-0035</t>
  </si>
  <si>
    <t>Hisense 55-inch U7N Mini-LED</t>
  </si>
  <si>
    <t>Hisense</t>
  </si>
  <si>
    <t>PK-ELEC-0036</t>
  </si>
  <si>
    <t>Haier 50-inch S800UX</t>
  </si>
  <si>
    <t>Haier</t>
  </si>
  <si>
    <t>PK-ELEC-0037</t>
  </si>
  <si>
    <t>EcoStar 50-inch CX 4K</t>
  </si>
  <si>
    <t>EcoStar</t>
  </si>
  <si>
    <t>PK-ELEC-0038</t>
  </si>
  <si>
    <t>Orient 50-inch 4K UHD</t>
  </si>
  <si>
    <t>Orient</t>
  </si>
  <si>
    <t>PK-ELEC-0039</t>
  </si>
  <si>
    <t>Xiaomi TV A Pro 55</t>
  </si>
  <si>
    <t>PK-ELEC-0040</t>
  </si>
  <si>
    <t>Philips 55-inch PUS7608</t>
  </si>
  <si>
    <t>Philips</t>
  </si>
  <si>
    <t>PK-ELEC-0041</t>
  </si>
  <si>
    <t>Dell P2425H 24-inch</t>
  </si>
  <si>
    <t>Monitors</t>
  </si>
  <si>
    <t>PK-ELEC-0042</t>
  </si>
  <si>
    <t>HP Series 5 524sf</t>
  </si>
  <si>
    <t>PK-ELEC-0043</t>
  </si>
  <si>
    <t>Lenovo L27i-40</t>
  </si>
  <si>
    <t>PK-ELEC-0044</t>
  </si>
  <si>
    <t>ASUS TUF Gaming VG27AQ3A</t>
  </si>
  <si>
    <t>PK-ELEC-0045</t>
  </si>
  <si>
    <t>Acer Nitro VG271U</t>
  </si>
  <si>
    <t>PK-ELEC-0046</t>
  </si>
  <si>
    <t>Samsung Odyssey G5 32-inch</t>
  </si>
  <si>
    <t>PK-ELEC-0047</t>
  </si>
  <si>
    <t>LG UltraGear 27GR75Q</t>
  </si>
  <si>
    <t>PK-ELEC-0048</t>
  </si>
  <si>
    <t>MSI G274QPF E2</t>
  </si>
  <si>
    <t>PK-ELEC-0049</t>
  </si>
  <si>
    <t>ViewSonic VX3276-2K</t>
  </si>
  <si>
    <t>ViewSonic</t>
  </si>
  <si>
    <t>PK-ELEC-0050</t>
  </si>
  <si>
    <t>BenQ PD2705Q</t>
  </si>
  <si>
    <t>BenQ</t>
  </si>
  <si>
    <t>PK-ELEC-0051</t>
  </si>
  <si>
    <t>Canon EOS R50 Kit</t>
  </si>
  <si>
    <t>Canon</t>
  </si>
  <si>
    <t>Cameras</t>
  </si>
  <si>
    <t>PK-ELEC-0052</t>
  </si>
  <si>
    <t>Nikon Z50 II Kit</t>
  </si>
  <si>
    <t>Nikon</t>
  </si>
  <si>
    <t>PK-ELEC-0053</t>
  </si>
  <si>
    <t>Sony Alpha A6700 Body</t>
  </si>
  <si>
    <t>PK-ELEC-0054</t>
  </si>
  <si>
    <t>Fujifilm X-S20 Body</t>
  </si>
  <si>
    <t>Fujifilm</t>
  </si>
  <si>
    <t>PK-ELEC-0055</t>
  </si>
  <si>
    <t>Panasonic Lumix G9 II</t>
  </si>
  <si>
    <t>Panasonic</t>
  </si>
  <si>
    <t>PK-ELEC-0056</t>
  </si>
  <si>
    <t>GoPro HERO13 Black</t>
  </si>
  <si>
    <t>GoPro</t>
  </si>
  <si>
    <t>PK-ELEC-0057</t>
  </si>
  <si>
    <t>DJI Osmo Action 5 Pro</t>
  </si>
  <si>
    <t>DJI</t>
  </si>
  <si>
    <t>PK-ELEC-0058</t>
  </si>
  <si>
    <t>Insta360 X4</t>
  </si>
  <si>
    <t>Insta360</t>
  </si>
  <si>
    <t>PK-ELEC-0059</t>
  </si>
  <si>
    <t>Leica Q3</t>
  </si>
  <si>
    <t>Leica</t>
  </si>
  <si>
    <t>PK-ELEC-0060</t>
  </si>
  <si>
    <t>OM System OM-5 Kit</t>
  </si>
  <si>
    <t>OM System</t>
  </si>
  <si>
    <t>PK-ELEC-0061</t>
  </si>
  <si>
    <t>Sony PlayStation 5 Slim Disc</t>
  </si>
  <si>
    <t>Gaming Consoles</t>
  </si>
  <si>
    <t>PK-ELEC-0062</t>
  </si>
  <si>
    <t>Sony PlayStation 5 Pro</t>
  </si>
  <si>
    <t>PK-ELEC-0063</t>
  </si>
  <si>
    <t>Microsoft Xbox Series X</t>
  </si>
  <si>
    <t>PK-ELEC-0064</t>
  </si>
  <si>
    <t>Microsoft Xbox Series S</t>
  </si>
  <si>
    <t>PK-ELEC-0065</t>
  </si>
  <si>
    <t>Nintendo Switch OLED</t>
  </si>
  <si>
    <t>Nintendo</t>
  </si>
  <si>
    <t>PK-ELEC-0066</t>
  </si>
  <si>
    <t>Nintendo Switch 2</t>
  </si>
  <si>
    <t>PK-ELEC-0067</t>
  </si>
  <si>
    <t>Valve Steam Deck OLED 512GB</t>
  </si>
  <si>
    <t>Valve</t>
  </si>
  <si>
    <t>PK-ELEC-0068</t>
  </si>
  <si>
    <t>ASUS ROG Ally X</t>
  </si>
  <si>
    <t>PK-ELEC-0069</t>
  </si>
  <si>
    <t>Lenovo Legion Go</t>
  </si>
  <si>
    <t>PK-ELEC-0070</t>
  </si>
  <si>
    <t>Atari 2600 Plus</t>
  </si>
  <si>
    <t>Atari</t>
  </si>
  <si>
    <t>PK-ELEC-0071</t>
  </si>
  <si>
    <t>Apple Watch Series 10 GPS</t>
  </si>
  <si>
    <t>Smartwatches</t>
  </si>
  <si>
    <t>PK-ELEC-0072</t>
  </si>
  <si>
    <t>Apple Watch Ultra 2</t>
  </si>
  <si>
    <t>PK-ELEC-0073</t>
  </si>
  <si>
    <t>Samsung Galaxy Watch7</t>
  </si>
  <si>
    <t>PK-ELEC-0074</t>
  </si>
  <si>
    <t>Samsung Galaxy Watch Ultra</t>
  </si>
  <si>
    <t>PK-ELEC-0075</t>
  </si>
  <si>
    <t>Huawei Watch GT 5 Pro</t>
  </si>
  <si>
    <t>PK-ELEC-0076</t>
  </si>
  <si>
    <t>Xiaomi Watch S4</t>
  </si>
  <si>
    <t>PK-ELEC-0077</t>
  </si>
  <si>
    <t>Garmin Forerunner 265</t>
  </si>
  <si>
    <t>Garmin</t>
  </si>
  <si>
    <t>PK-ELEC-0078</t>
  </si>
  <si>
    <t>Amazfit Balance</t>
  </si>
  <si>
    <t>Amazfit</t>
  </si>
  <si>
    <t>PK-ELEC-0079</t>
  </si>
  <si>
    <t>Redmi Watch 5 Active</t>
  </si>
  <si>
    <t>Redmi</t>
  </si>
  <si>
    <t>PK-ELEC-0080</t>
  </si>
  <si>
    <t>Fitbit Versa 4</t>
  </si>
  <si>
    <t>Fitbit</t>
  </si>
  <si>
    <t>PK-ELEC-0081</t>
  </si>
  <si>
    <t>Sony WH-1000XM5</t>
  </si>
  <si>
    <t>Headphones</t>
  </si>
  <si>
    <t>PK-ELEC-0082</t>
  </si>
  <si>
    <t>Bose QuietComfort Ultra</t>
  </si>
  <si>
    <t>Bose</t>
  </si>
  <si>
    <t>PK-ELEC-0083</t>
  </si>
  <si>
    <t>Apple AirPods Max USB-C</t>
  </si>
  <si>
    <t>PK-ELEC-0084</t>
  </si>
  <si>
    <t>Sennheiser Momentum 4 Wireless</t>
  </si>
  <si>
    <t>Sennheiser</t>
  </si>
  <si>
    <t>PK-ELEC-0085</t>
  </si>
  <si>
    <t>JBL Tour One M2</t>
  </si>
  <si>
    <t>JBL</t>
  </si>
  <si>
    <t>PK-ELEC-0086</t>
  </si>
  <si>
    <t>Beats Studio Pro</t>
  </si>
  <si>
    <t>Beats</t>
  </si>
  <si>
    <t>PK-ELEC-0087</t>
  </si>
  <si>
    <t>Anker Soundcore Space One</t>
  </si>
  <si>
    <t>Anker</t>
  </si>
  <si>
    <t>PK-ELEC-0088</t>
  </si>
  <si>
    <t>Audio-Technica ATH-M50xBT2</t>
  </si>
  <si>
    <t>Audio-Technica</t>
  </si>
  <si>
    <t>PK-ELEC-0089</t>
  </si>
  <si>
    <t>HyperX Cloud III Wireless</t>
  </si>
  <si>
    <t>HyperX</t>
  </si>
  <si>
    <t>PK-ELEC-0090</t>
  </si>
  <si>
    <t>Logitech G Pro X 2</t>
  </si>
  <si>
    <t>Logitech</t>
  </si>
  <si>
    <t>PK-ELEC-0091</t>
  </si>
  <si>
    <t>Apple AirPods Pro 2 USB-C</t>
  </si>
  <si>
    <t>Earbuds</t>
  </si>
  <si>
    <t>PK-ELEC-0092</t>
  </si>
  <si>
    <t>Samsung Galaxy Buds3 Pro</t>
  </si>
  <si>
    <t>PK-ELEC-0093</t>
  </si>
  <si>
    <t>Sony WF-1000XM5</t>
  </si>
  <si>
    <t>PK-ELEC-0094</t>
  </si>
  <si>
    <t>Bose QuietComfort Ultra Earbuds</t>
  </si>
  <si>
    <t>PK-ELEC-0095</t>
  </si>
  <si>
    <t>JBL Live Beam 3</t>
  </si>
  <si>
    <t>PK-ELEC-0096</t>
  </si>
  <si>
    <t>Anker Soundcore Liberty 4 NC</t>
  </si>
  <si>
    <t>PK-ELEC-0097</t>
  </si>
  <si>
    <t>Nothing Ear</t>
  </si>
  <si>
    <t>Nothing</t>
  </si>
  <si>
    <t>PK-ELEC-0098</t>
  </si>
  <si>
    <t>Xiaomi Buds 5 Pro</t>
  </si>
  <si>
    <t>PK-ELEC-0099</t>
  </si>
  <si>
    <t>Huawei FreeBuds 6i</t>
  </si>
  <si>
    <t>PK-ELEC-0100</t>
  </si>
  <si>
    <t>Audionic Airbud 550</t>
  </si>
  <si>
    <t>Audionic</t>
  </si>
  <si>
    <t>PK-ELEC-0101</t>
  </si>
  <si>
    <t>JBL Flip 6</t>
  </si>
  <si>
    <t>Bluetooth Speakers</t>
  </si>
  <si>
    <t>PK-ELEC-0102</t>
  </si>
  <si>
    <t>JBL Charge 5</t>
  </si>
  <si>
    <t>PK-ELEC-0103</t>
  </si>
  <si>
    <t>Bose SoundLink Max</t>
  </si>
  <si>
    <t>PK-ELEC-0104</t>
  </si>
  <si>
    <t>Sony ULT Field 7</t>
  </si>
  <si>
    <t>PK-ELEC-0105</t>
  </si>
  <si>
    <t>Marshall Stanmore III</t>
  </si>
  <si>
    <t>Marshall</t>
  </si>
  <si>
    <t>PK-ELEC-0106</t>
  </si>
  <si>
    <t>Anker Soundcore Boom 2</t>
  </si>
  <si>
    <t>PK-ELEC-0107</t>
  </si>
  <si>
    <t>Harman Kardon Aura Studio 4</t>
  </si>
  <si>
    <t>Harman Kardon</t>
  </si>
  <si>
    <t>PK-ELEC-0108</t>
  </si>
  <si>
    <t>Ultimate Ears Boom 4</t>
  </si>
  <si>
    <t>Ultimate Ears</t>
  </si>
  <si>
    <t>PK-ELEC-0109</t>
  </si>
  <si>
    <t>Audionic Mehfil MH-102</t>
  </si>
  <si>
    <t>PK-ELEC-0110</t>
  </si>
  <si>
    <t>Dany Thunder 120</t>
  </si>
  <si>
    <t>Dany</t>
  </si>
  <si>
    <t>PK-ELEC-0111</t>
  </si>
  <si>
    <t>TP-Link Archer AX23</t>
  </si>
  <si>
    <t>TP-Link</t>
  </si>
  <si>
    <t>Wi-Fi Routers</t>
  </si>
  <si>
    <t>PK-ELEC-0112</t>
  </si>
  <si>
    <t>TP-Link Archer AX73</t>
  </si>
  <si>
    <t>PK-ELEC-0113</t>
  </si>
  <si>
    <t>D-Link R15 Eagle Pro</t>
  </si>
  <si>
    <t>D-Link</t>
  </si>
  <si>
    <t>PK-ELEC-0114</t>
  </si>
  <si>
    <t>Huawei AX3 Pro</t>
  </si>
  <si>
    <t>PK-ELEC-0115</t>
  </si>
  <si>
    <t>Tenda TX2 Pro</t>
  </si>
  <si>
    <t>Tenda</t>
  </si>
  <si>
    <t>PK-ELEC-0116</t>
  </si>
  <si>
    <t>Netgear Nighthawk RAX50</t>
  </si>
  <si>
    <t>Netgear</t>
  </si>
  <si>
    <t>PK-ELEC-0117</t>
  </si>
  <si>
    <t>ASUS RT-AX86U Pro</t>
  </si>
  <si>
    <t>PK-ELEC-0118</t>
  </si>
  <si>
    <t>Xiaomi Router AX3000T</t>
  </si>
  <si>
    <t>PK-ELEC-0119</t>
  </si>
  <si>
    <t>Mercusys MR80X</t>
  </si>
  <si>
    <t>Mercusys</t>
  </si>
  <si>
    <t>PK-ELEC-0120</t>
  </si>
  <si>
    <t>Ubiquiti UniFi Dream Router</t>
  </si>
  <si>
    <t>Ubiquiti</t>
  </si>
  <si>
    <t>PK-ELEC-0121</t>
  </si>
  <si>
    <t>Anker PowerCore 10000</t>
  </si>
  <si>
    <t>Power Banks</t>
  </si>
  <si>
    <t>PK-ELEC-0122</t>
  </si>
  <si>
    <t>Anker Prime 27650mAh</t>
  </si>
  <si>
    <t>PK-ELEC-0123</t>
  </si>
  <si>
    <t>Xiaomi 20000mAh 50W</t>
  </si>
  <si>
    <t>PK-ELEC-0124</t>
  </si>
  <si>
    <t>Samsung Battery Pack 20000mAh</t>
  </si>
  <si>
    <t>PK-ELEC-0125</t>
  </si>
  <si>
    <t>Baseus Blade 100W</t>
  </si>
  <si>
    <t>Baseus</t>
  </si>
  <si>
    <t>PK-ELEC-0126</t>
  </si>
  <si>
    <t>Ronin R-87 20000mAh</t>
  </si>
  <si>
    <t>Ronin</t>
  </si>
  <si>
    <t>PK-ELEC-0127</t>
  </si>
  <si>
    <t>Audionic Powerbox 10000mAh</t>
  </si>
  <si>
    <t>PK-ELEC-0128</t>
  </si>
  <si>
    <t>Dany Titan T-100</t>
  </si>
  <si>
    <t>PK-ELEC-0129</t>
  </si>
  <si>
    <t>UGREEN 25000mAh 145W</t>
  </si>
  <si>
    <t>UGREEN</t>
  </si>
  <si>
    <t>PK-ELEC-0130</t>
  </si>
  <si>
    <t>Belkin BoostCharge 20000mAh</t>
  </si>
  <si>
    <t>Belkin</t>
  </si>
  <si>
    <t>PK-ELEC-0131</t>
  </si>
  <si>
    <t>Apple 20W USB-C Power Adapter</t>
  </si>
  <si>
    <t>Chargers</t>
  </si>
  <si>
    <t>PK-ELEC-0132</t>
  </si>
  <si>
    <t>Apple 70W USB-C Power Adapter</t>
  </si>
  <si>
    <t>PK-ELEC-0133</t>
  </si>
  <si>
    <t>Samsung 25W Power Adapter</t>
  </si>
  <si>
    <t>PK-ELEC-0134</t>
  </si>
  <si>
    <t>Samsung 45W Power Adapter</t>
  </si>
  <si>
    <t>PK-ELEC-0135</t>
  </si>
  <si>
    <t>Anker 735 GaNPrime 65W</t>
  </si>
  <si>
    <t>PK-ELEC-0136</t>
  </si>
  <si>
    <t>UGREEN Nexode 100W</t>
  </si>
  <si>
    <t>PK-ELEC-0137</t>
  </si>
  <si>
    <t>Baseus GaN5 Pro 65W</t>
  </si>
  <si>
    <t>PK-ELEC-0138</t>
  </si>
  <si>
    <t>Xiaomi 67W Fast Charger</t>
  </si>
  <si>
    <t>PK-ELEC-0139</t>
  </si>
  <si>
    <t>Ronin R-615 65W Charger</t>
  </si>
  <si>
    <t>PK-ELEC-0140</t>
  </si>
  <si>
    <t>Belkin BoostCharge Pro 140W</t>
  </si>
  <si>
    <t>PK-ELEC-0141</t>
  </si>
  <si>
    <t>Logitech Pebble Keys 2 K380s</t>
  </si>
  <si>
    <t>Keyboards</t>
  </si>
  <si>
    <t>PK-ELEC-0142</t>
  </si>
  <si>
    <t>Logitech MX Keys S</t>
  </si>
  <si>
    <t>PK-ELEC-0143</t>
  </si>
  <si>
    <t>Razer BlackWidow V4</t>
  </si>
  <si>
    <t>PK-ELEC-0144</t>
  </si>
  <si>
    <t>Corsair K70 RGB Pro</t>
  </si>
  <si>
    <t>Corsair</t>
  </si>
  <si>
    <t>PK-ELEC-0145</t>
  </si>
  <si>
    <t>SteelSeries Apex Pro TKL</t>
  </si>
  <si>
    <t>SteelSeries</t>
  </si>
  <si>
    <t>PK-ELEC-0146</t>
  </si>
  <si>
    <t>HyperX Alloy Origins</t>
  </si>
  <si>
    <t>PK-ELEC-0147</t>
  </si>
  <si>
    <t>Redragon K552 Kumara</t>
  </si>
  <si>
    <t>Redragon</t>
  </si>
  <si>
    <t>PK-ELEC-0148</t>
  </si>
  <si>
    <t>A4Tech KR-85</t>
  </si>
  <si>
    <t>A4Tech</t>
  </si>
  <si>
    <t>PK-ELEC-0149</t>
  </si>
  <si>
    <t>Apple Magic Keyboard USB-C</t>
  </si>
  <si>
    <t>PK-ELEC-0150</t>
  </si>
  <si>
    <t>Keychron K2 Pro</t>
  </si>
  <si>
    <t>Keychron</t>
  </si>
  <si>
    <t>PK-ELEC-0151</t>
  </si>
  <si>
    <t>Logitech M185 Wireless Mouse</t>
  </si>
  <si>
    <t>Computer Mice</t>
  </si>
  <si>
    <t>PK-ELEC-0152</t>
  </si>
  <si>
    <t>Logitech MX Master 3S</t>
  </si>
  <si>
    <t>PK-ELEC-0153</t>
  </si>
  <si>
    <t>Razer DeathAdder V3 Pro</t>
  </si>
  <si>
    <t>PK-ELEC-0154</t>
  </si>
  <si>
    <t>SteelSeries Aerox 5 Wireless</t>
  </si>
  <si>
    <t>PK-ELEC-0155</t>
  </si>
  <si>
    <t>Corsair Dark Core RGB Pro</t>
  </si>
  <si>
    <t>PK-ELEC-0156</t>
  </si>
  <si>
    <t>HyperX Pulsefire Haste 2</t>
  </si>
  <si>
    <t>PK-ELEC-0157</t>
  </si>
  <si>
    <t>A4Tech Bloody A70</t>
  </si>
  <si>
    <t>PK-ELEC-0158</t>
  </si>
  <si>
    <t>Apple Magic Mouse USB-C</t>
  </si>
  <si>
    <t>PK-ELEC-0159</t>
  </si>
  <si>
    <t>Microsoft Bluetooth Mouse</t>
  </si>
  <si>
    <t>PK-ELEC-0160</t>
  </si>
  <si>
    <t>Rapoo MT750S</t>
  </si>
  <si>
    <t>Rapoo</t>
  </si>
  <si>
    <t>PK-ELEC-0161</t>
  </si>
  <si>
    <t>HP LaserJet M111w</t>
  </si>
  <si>
    <t>Printers</t>
  </si>
  <si>
    <t>PK-ELEC-0162</t>
  </si>
  <si>
    <t>HP LaserJet Pro MFP 4103fdw</t>
  </si>
  <si>
    <t>PK-ELEC-0163</t>
  </si>
  <si>
    <t>Canon PIXMA G3010</t>
  </si>
  <si>
    <t>PK-ELEC-0164</t>
  </si>
  <si>
    <t>Canon imageCLASS MF3010</t>
  </si>
  <si>
    <t>PK-ELEC-0165</t>
  </si>
  <si>
    <t>Epson EcoTank L3250</t>
  </si>
  <si>
    <t>Epson</t>
  </si>
  <si>
    <t>PK-ELEC-0166</t>
  </si>
  <si>
    <t>Epson EcoTank L6270</t>
  </si>
  <si>
    <t>PK-ELEC-0167</t>
  </si>
  <si>
    <t>Brother HL-L2320D</t>
  </si>
  <si>
    <t>Brother</t>
  </si>
  <si>
    <t>PK-ELEC-0168</t>
  </si>
  <si>
    <t>Brother DCP-L2540DW</t>
  </si>
  <si>
    <t>PK-ELEC-0169</t>
  </si>
  <si>
    <t>Pantum P2500W</t>
  </si>
  <si>
    <t>Pantum</t>
  </si>
  <si>
    <t>PK-ELEC-0170</t>
  </si>
  <si>
    <t>Xerox B225</t>
  </si>
  <si>
    <t>Xerox</t>
  </si>
  <si>
    <t>PK-ELEC-0171</t>
  </si>
  <si>
    <t>APC Easy UPS BVX 1200VA</t>
  </si>
  <si>
    <t>APC</t>
  </si>
  <si>
    <t>UPS &amp; Inverters</t>
  </si>
  <si>
    <t>PK-ELEC-0172</t>
  </si>
  <si>
    <t>APC Smart-UPS 1500VA</t>
  </si>
  <si>
    <t>PK-ELEC-0173</t>
  </si>
  <si>
    <t>CyberPower UT1500E</t>
  </si>
  <si>
    <t>CyberPower</t>
  </si>
  <si>
    <t>PK-ELEC-0174</t>
  </si>
  <si>
    <t>Eaton 5E 1200VA</t>
  </si>
  <si>
    <t>Eaton</t>
  </si>
  <si>
    <t>PK-ELEC-0175</t>
  </si>
  <si>
    <t>Homage HVS-1214SCC</t>
  </si>
  <si>
    <t>Homage</t>
  </si>
  <si>
    <t>PK-ELEC-0176</t>
  </si>
  <si>
    <t>Inverex Veyron II 3.2kW</t>
  </si>
  <si>
    <t>Inverex</t>
  </si>
  <si>
    <t>PK-ELEC-0177</t>
  </si>
  <si>
    <t>Tesla InfiniSolar 3kW</t>
  </si>
  <si>
    <t>Tesla</t>
  </si>
  <si>
    <t>PK-ELEC-0178</t>
  </si>
  <si>
    <t>Crown Micro CMU-1200</t>
  </si>
  <si>
    <t>Crown</t>
  </si>
  <si>
    <t>PK-ELEC-0179</t>
  </si>
  <si>
    <t>MaxPower Suntronic PV 3kW</t>
  </si>
  <si>
    <t>MaxPower</t>
  </si>
  <si>
    <t>PK-ELEC-0180</t>
  </si>
  <si>
    <t>Knox Krypton 3kW</t>
  </si>
  <si>
    <t>Knox</t>
  </si>
  <si>
    <t>PK-ELEC-0181</t>
  </si>
  <si>
    <t>Haier HRF-438 EPB</t>
  </si>
  <si>
    <t>Refrigerators</t>
  </si>
  <si>
    <t>PK-ELEC-0182</t>
  </si>
  <si>
    <t>Dawlance 9191 WB Avante Plus</t>
  </si>
  <si>
    <t>Dawlance</t>
  </si>
  <si>
    <t>PK-ELEC-0183</t>
  </si>
  <si>
    <t>PEL PRGD-1400</t>
  </si>
  <si>
    <t>PEL</t>
  </si>
  <si>
    <t>PK-ELEC-0184</t>
  </si>
  <si>
    <t>Samsung RT50CG6400</t>
  </si>
  <si>
    <t>PK-ELEC-0185</t>
  </si>
  <si>
    <t>LG GN-B392PLGB</t>
  </si>
  <si>
    <t>PK-ELEC-0186</t>
  </si>
  <si>
    <t>Orient Grand 535</t>
  </si>
  <si>
    <t>PK-ELEC-0187</t>
  </si>
  <si>
    <t>Kenwood KRF-400GD</t>
  </si>
  <si>
    <t>Kenwood</t>
  </si>
  <si>
    <t>PK-ELEC-0188</t>
  </si>
  <si>
    <t>Gree Everest 430</t>
  </si>
  <si>
    <t>Gree</t>
  </si>
  <si>
    <t>PK-ELEC-0189</t>
  </si>
  <si>
    <t>Hitachi R-VG560</t>
  </si>
  <si>
    <t>Hitachi</t>
  </si>
  <si>
    <t>PK-ELEC-0190</t>
  </si>
  <si>
    <t>Panasonic NR-BX471</t>
  </si>
  <si>
    <t>PK-ELEC-0191</t>
  </si>
  <si>
    <t>Haier 1.5 Ton DC Inverter HSU-18HFP</t>
  </si>
  <si>
    <t>Air Conditioners</t>
  </si>
  <si>
    <t>PK-ELEC-0192</t>
  </si>
  <si>
    <t>Dawlance 1.5 Ton Mega T3 Pro</t>
  </si>
  <si>
    <t>PK-ELEC-0193</t>
  </si>
  <si>
    <t>Gree 1.5 Ton Pular</t>
  </si>
  <si>
    <t>PK-ELEC-0194</t>
  </si>
  <si>
    <t>Orient 1.5 Ton Ultron Bold</t>
  </si>
  <si>
    <t>PK-ELEC-0195</t>
  </si>
  <si>
    <t>Kenwood 1.5 Ton eEco Plus</t>
  </si>
  <si>
    <t>PK-ELEC-0196</t>
  </si>
  <si>
    <t>TCL 1.5 Ton Elite T3</t>
  </si>
  <si>
    <t>PK-ELEC-0197</t>
  </si>
  <si>
    <t>Samsung 1.5 Ton WindFree</t>
  </si>
  <si>
    <t>PK-ELEC-0198</t>
  </si>
  <si>
    <t>LG 1.5 Ton Dual Inverter</t>
  </si>
  <si>
    <t>PK-ELEC-0199</t>
  </si>
  <si>
    <t>Midea 1.5 Ton Xtreme</t>
  </si>
  <si>
    <t>Midea</t>
  </si>
  <si>
    <t>PK-ELEC-0200</t>
  </si>
  <si>
    <t>PEL 1.5 Ton Jumbo DC</t>
  </si>
  <si>
    <t>PK-ELEC-0201</t>
  </si>
  <si>
    <t>Haier HWM 120-1789 Top Load</t>
  </si>
  <si>
    <t>Washing Machines</t>
  </si>
  <si>
    <t>PK-ELEC-0202</t>
  </si>
  <si>
    <t>Dawlance DWT 270 ES</t>
  </si>
  <si>
    <t>PK-ELEC-0203</t>
  </si>
  <si>
    <t>Samsung WA90T5260BY</t>
  </si>
  <si>
    <t>PK-ELEC-0204</t>
  </si>
  <si>
    <t>LG T2109VS2M</t>
  </si>
  <si>
    <t>PK-ELEC-0205</t>
  </si>
  <si>
    <t>PEL PWM 1100</t>
  </si>
  <si>
    <t>PK-ELEC-0206</t>
  </si>
  <si>
    <t>Super Asia SA-272</t>
  </si>
  <si>
    <t>Super Asia</t>
  </si>
  <si>
    <t>PK-ELEC-0207</t>
  </si>
  <si>
    <t>Kenwood KWM-1012</t>
  </si>
  <si>
    <t>PK-ELEC-0208</t>
  </si>
  <si>
    <t>Hitachi SF-100XA</t>
  </si>
  <si>
    <t>PK-ELEC-0209</t>
  </si>
  <si>
    <t>Panasonic NA-F100A9</t>
  </si>
  <si>
    <t>PK-ELEC-0210</t>
  </si>
  <si>
    <t>Bosch WGA24400GC Front Load</t>
  </si>
  <si>
    <t>Bosch</t>
  </si>
  <si>
    <t>PK-ELEC-0211</t>
  </si>
  <si>
    <t>Dawlance DW-210 S</t>
  </si>
  <si>
    <t>Microwave Ovens</t>
  </si>
  <si>
    <t>PK-ELEC-0212</t>
  </si>
  <si>
    <t>Haier HIL2001MWPH</t>
  </si>
  <si>
    <t>PK-ELEC-0213</t>
  </si>
  <si>
    <t>PEL PMO 23</t>
  </si>
  <si>
    <t>PK-ELEC-0214</t>
  </si>
  <si>
    <t>Samsung MS23K3513AK</t>
  </si>
  <si>
    <t>PK-ELEC-0215</t>
  </si>
  <si>
    <t>LG MH6565DIS</t>
  </si>
  <si>
    <t>PK-ELEC-0216</t>
  </si>
  <si>
    <t>Kenwood MWM-25</t>
  </si>
  <si>
    <t>PK-ELEC-0217</t>
  </si>
  <si>
    <t>Orient Pasta 23D</t>
  </si>
  <si>
    <t>PK-ELEC-0218</t>
  </si>
  <si>
    <t>Panasonic NN-ST34NB</t>
  </si>
  <si>
    <t>PK-ELEC-0219</t>
  </si>
  <si>
    <t>Sharp R-75MT</t>
  </si>
  <si>
    <t>Sharp</t>
  </si>
  <si>
    <t>PK-ELEC-0220</t>
  </si>
  <si>
    <t>Bosch FEL023MS2</t>
  </si>
  <si>
    <t>PK-ELEC-0221</t>
  </si>
  <si>
    <t>Dawlance DWVC-7500</t>
  </si>
  <si>
    <t>Vacuum Cleaners</t>
  </si>
  <si>
    <t>PK-ELEC-0222</t>
  </si>
  <si>
    <t>Philips PowerPro Compact FC9350</t>
  </si>
  <si>
    <t>PK-ELEC-0223</t>
  </si>
  <si>
    <t>Samsung VC18M2120SB</t>
  </si>
  <si>
    <t>PK-ELEC-0224</t>
  </si>
  <si>
    <t>LG VC5420NHT</t>
  </si>
  <si>
    <t>PK-ELEC-0225</t>
  </si>
  <si>
    <t>Bosch BGC21X300</t>
  </si>
  <si>
    <t>PK-ELEC-0226</t>
  </si>
  <si>
    <t>Dyson V15 Detect</t>
  </si>
  <si>
    <t>Dyson</t>
  </si>
  <si>
    <t>PK-ELEC-0227</t>
  </si>
  <si>
    <t>Xiaomi Robot Vacuum S10</t>
  </si>
  <si>
    <t>PK-ELEC-0228</t>
  </si>
  <si>
    <t>Eufy RoboVac G30</t>
  </si>
  <si>
    <t>Eufy</t>
  </si>
  <si>
    <t>PK-ELEC-0229</t>
  </si>
  <si>
    <t>Karcher WD 3</t>
  </si>
  <si>
    <t>Karcher</t>
  </si>
  <si>
    <t>PK-ELEC-0230</t>
  </si>
  <si>
    <t>Black+Decker VM2825</t>
  </si>
  <si>
    <t>Black+Decker</t>
  </si>
  <si>
    <t>PK-ELEC-0231</t>
  </si>
  <si>
    <t>Philips HD9252</t>
  </si>
  <si>
    <t>Air Fryers</t>
  </si>
  <si>
    <t>PK-ELEC-0232</t>
  </si>
  <si>
    <t>Philips NA350 Dual Basket</t>
  </si>
  <si>
    <t>PK-ELEC-0233</t>
  </si>
  <si>
    <t>Kenwood HFP30</t>
  </si>
  <si>
    <t>PK-ELEC-0234</t>
  </si>
  <si>
    <t>Dawlance DAF 301</t>
  </si>
  <si>
    <t>PK-ELEC-0235</t>
  </si>
  <si>
    <t>Westpoint WF-5257</t>
  </si>
  <si>
    <t>Westpoint</t>
  </si>
  <si>
    <t>PK-ELEC-0236</t>
  </si>
  <si>
    <t>Xiaomi Smart Air Fryer 6.5L</t>
  </si>
  <si>
    <t>PK-ELEC-0237</t>
  </si>
  <si>
    <t>Ninja AF400 Dual Zone</t>
  </si>
  <si>
    <t>Ninja</t>
  </si>
  <si>
    <t>PK-ELEC-0238</t>
  </si>
  <si>
    <t>Tefal EY401D</t>
  </si>
  <si>
    <t>Tefal</t>
  </si>
  <si>
    <t>PK-ELEC-0239</t>
  </si>
  <si>
    <t>Anex AG-2019</t>
  </si>
  <si>
    <t>Anex</t>
  </si>
  <si>
    <t>PK-ELEC-0240</t>
  </si>
  <si>
    <t>Geepas GAF37525</t>
  </si>
  <si>
    <t>Geepas</t>
  </si>
  <si>
    <t>PK-ELEC-0241</t>
  </si>
  <si>
    <t>Epson CO-W01</t>
  </si>
  <si>
    <t>Projectors</t>
  </si>
  <si>
    <t>PK-ELEC-0242</t>
  </si>
  <si>
    <t>Epson EB-FH06</t>
  </si>
  <si>
    <t>PK-ELEC-0243</t>
  </si>
  <si>
    <t>BenQ TH575</t>
  </si>
  <si>
    <t>PK-ELEC-0244</t>
  </si>
  <si>
    <t>BenQ TK700</t>
  </si>
  <si>
    <t>PK-ELEC-0245</t>
  </si>
  <si>
    <t>ViewSonic PA503W</t>
  </si>
  <si>
    <t>PK-ELEC-0246</t>
  </si>
  <si>
    <t>Optoma HD146X</t>
  </si>
  <si>
    <t>Optoma</t>
  </si>
  <si>
    <t>PK-ELEC-0247</t>
  </si>
  <si>
    <t>Xiaomi Smart Projector 2</t>
  </si>
  <si>
    <t>PK-ELEC-0248</t>
  </si>
  <si>
    <t>Wanbo T2 Max New</t>
  </si>
  <si>
    <t>Wanbo</t>
  </si>
  <si>
    <t>PK-ELEC-0249</t>
  </si>
  <si>
    <t>Samsung The Freestyle Gen 2</t>
  </si>
  <si>
    <t>PK-ELEC-0250</t>
  </si>
  <si>
    <t>Anker Nebula Capsule 3</t>
  </si>
  <si>
    <t>Electronics Catalog Summary</t>
  </si>
  <si>
    <t>Category counts and price ranges linked to the Products sheet</t>
  </si>
  <si>
    <t>Products</t>
  </si>
  <si>
    <t>Minimum Price</t>
  </si>
  <si>
    <t>Average Price</t>
  </si>
  <si>
    <t>Maximum Price</t>
  </si>
  <si>
    <t>Catalog KPI</t>
  </si>
  <si>
    <t>Value</t>
  </si>
  <si>
    <t>Total Products</t>
  </si>
  <si>
    <t>Total Categories</t>
  </si>
  <si>
    <t>Lowest Price</t>
  </si>
  <si>
    <t>Highest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</si>
</sst>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PKR &quot;#,##0"/>
  </numFmts>
  <fonts count="7">
    <font>
      <sz val="11"/>
      <name val="Carlito"/>
    </font>
    <font>
      <b/>
      <sz val="18"/>
      <color rgb="FFFFFFFF"/>
      <name val="Aptos"/>
    </font>
    <font>
      <b/>
      <sz val="11"/>
      <color rgb="FF0F4C5C"/>
      <name val="Aptos"/>
    </font>
    <font>
      <i/>
      <sz val="9"/>
      <color rgb="FF4B5563"/>
      <name val="Aptos"/>
    </font>
    <font>
      <b/>
      <sz val="11"/>
      <color rgb="FFFFFFFF"/>
      <name val="Aptos"/>
    </font>
    <font>
      <sz val="11"/>
      <name val="Aptos"/>
    </font>
    <font>
      <b/>
      <sz val="11"/>
      <color rgb="FF111827"/>
      <name val="Aptos"/>
    </font>
  </fonts>
  <fills count="8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D9EEF2"/>
      </patternFill>
    </fill>
    <fill>
      <patternFill patternType="solid">
        <fgColor rgb="FFF3F7F8"/>
      </patternFill>
    </fill>
    <fill>
      <patternFill patternType="solid">
        <fgColor rgb="FF147D92"/>
      </patternFill>
    </fill>
    <fill>
      <patternFill patternType="solid">
        <fgColor rgb="FFE8F4F6"/>
      </patternFill>
    </fill>
    <fill>
      <patternFill patternType="solid">
        <fgColor rgb="FFF8FBFC"/>
      </patternFill>
    </fill>
  </fills>
  <borders count="16">
    <border>
      <left/>
      <right/>
      <top/>
      <bottom/>
      <diagonal/>
    </border>
    <border>
      <left style="thin">
        <color rgb="FF0F4C5C"/>
      </left>
      <right/>
      <top style="thin">
        <color rgb="FF0F4C5C"/>
      </top>
      <bottom style="thin">
        <color rgb="FF0F4C5C"/>
      </bottom>
      <diagonal/>
    </border>
    <border>
      <left/>
      <right/>
      <top style="thin">
        <color rgb="FF0F4C5C"/>
      </top>
      <bottom style="thin">
        <color rgb="FF0F4C5C"/>
      </bottom>
      <diagonal/>
    </border>
    <border>
      <left/>
      <right style="thin">
        <color rgb="FF0F4C5C"/>
      </right>
      <top style="thin">
        <color rgb="FF0F4C5C"/>
      </top>
      <bottom style="thin">
        <color rgb="FF0F4C5C"/>
      </bottom>
      <diagonal/>
    </border>
    <border>
      <left style="thin">
        <color rgb="FF0F4C5C"/>
      </left>
      <right/>
      <top style="thin">
        <color rgb="FF0F4C5C"/>
      </top>
      <bottom style="thin">
        <color rgb="FFDCE7EA"/>
      </bottom>
      <diagonal/>
    </border>
    <border>
      <left/>
      <right/>
      <top style="thin">
        <color rgb="FF0F4C5C"/>
      </top>
      <bottom style="thin">
        <color rgb="FFDCE7EA"/>
      </bottom>
      <diagonal/>
    </border>
    <border>
      <left style="thin">
        <color rgb="FF0F4C5C"/>
      </left>
      <right/>
      <top style="thin">
        <color rgb="FFDCE7EA"/>
      </top>
      <bottom style="thin">
        <color rgb="FFDCE7EA"/>
      </bottom>
      <diagonal/>
    </border>
    <border>
      <left/>
      <right/>
      <top style="thin">
        <color rgb="FFDCE7EA"/>
      </top>
      <bottom style="thin">
        <color rgb="FFDCE7EA"/>
      </bottom>
      <diagonal/>
    </border>
    <border>
      <left style="thin">
        <color rgb="FF0F4C5C"/>
      </left>
      <right/>
      <top style="thin">
        <color rgb="FFDCE7EA"/>
      </top>
      <bottom style="thin">
        <color rgb="FFB8CDD2"/>
      </bottom>
      <diagonal/>
    </border>
    <border>
      <left/>
      <right/>
      <top style="thin">
        <color rgb="FFDCE7EA"/>
      </top>
      <bottom style="thin">
        <color rgb="FFB8CDD2"/>
      </bottom>
      <diagonal/>
    </border>
    <border>
      <left style="thin">
        <color rgb="FFB8CDD2"/>
      </left>
      <right/>
      <top style="thin">
        <color rgb="FFB8CDD2"/>
      </top>
      <bottom/>
      <diagonal/>
    </border>
    <border>
      <left/>
      <right style="thin">
        <color rgb="FFB8CDD2"/>
      </right>
      <top style="thin">
        <color rgb="FFB8CDD2"/>
      </top>
      <bottom/>
      <diagonal/>
    </border>
    <border>
      <left style="thin">
        <color rgb="FFB8CDD2"/>
      </left>
      <right/>
      <top/>
      <bottom/>
      <diagonal/>
    </border>
    <border>
      <left/>
      <right style="thin">
        <color rgb="FFB8CDD2"/>
      </right>
      <top/>
      <bottom/>
      <diagonal/>
    </border>
    <border>
      <left style="thin">
        <color rgb="FFB8CDD2"/>
      </left>
      <right/>
      <top/>
      <bottom style="thin">
        <color rgb="FFB8CDD2"/>
      </bottom>
      <diagonal/>
    </border>
    <border>
      <left/>
      <right style="thin">
        <color rgb="FFB8CDD2"/>
      </right>
      <top/>
      <bottom style="thin">
        <color rgb="FFB8CDD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164" fontId="5" fillId="0" borderId="0" xfId="0" applyNumberFormat="1" applyFont="1" applyAlignment="1">
      <alignment horizontal="right"/>
    </xf>
    <xf numFmtId="0" fontId="5" fillId="0" borderId="0" xfId="0" applyFont="1" applyAlignment="1">
      <alignment wrapText="1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 applyAlignment="1">
      <alignment horizontal="center"/>
    </xf>
    <xf numFmtId="164" fontId="5" fillId="0" borderId="7" xfId="0" applyNumberFormat="1" applyFont="1" applyBorder="1"/>
    <xf numFmtId="0" fontId="2" fillId="6" borderId="12" xfId="0" applyFont="1" applyFill="1" applyBorder="1"/>
    <xf numFmtId="0" fontId="6" fillId="7" borderId="13" xfId="0" applyFont="1" applyFill="1" applyBorder="1" applyAlignment="1">
      <alignment horizontal="right"/>
    </xf>
    <xf numFmtId="164" fontId="6" fillId="7" borderId="13" xfId="0" applyNumberFormat="1" applyFont="1" applyFill="1" applyBorder="1" applyAlignment="1">
      <alignment horizontal="right"/>
    </xf>
    <xf numFmtId="0" fontId="2" fillId="6" borderId="14" xfId="0" applyFont="1" applyFill="1" applyBorder="1"/>
    <xf numFmtId="164" fontId="6" fillId="7" borderId="15" xfId="0" applyNumberFormat="1" applyFont="1" applyFill="1" applyBorder="1" applyAlignment="1">
      <alignment horizontal="right"/>
    </xf>
    <xf numFmtId="0" fontId="5" fillId="0" borderId="8" xfId="0" applyFont="1" applyBorder="1"/>
    <xf numFmtId="0" fontId="5" fillId="0" borderId="9" xfId="0" applyFont="1" applyBorder="1" applyAlignment="1">
      <alignment horizontal="center"/>
    </xf>
    <xf numFmtId="164" fontId="5" fillId="0" borderId="9" xfId="0" applyNumberFormat="1" applyFont="1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Table" displayName="ProductsTable" ref="A4:G254" totalsRowShown="0">
  <autoFilter ref="A4:G254" xr:uid="{00000000-0009-0000-0100-000001000000}"/>
  <tableColumns count="7">
    <tableColumn id="1" xr3:uid="{00000000-0010-0000-0000-000001000000}" name="ID"/>
    <tableColumn id="2" xr3:uid="{00000000-0010-0000-0000-000002000000}" name="SKU"/>
    <tableColumn id="3" xr3:uid="{00000000-0010-0000-0000-000003000000}" name="Product Name"/>
    <tableColumn id="4" xr3:uid="{00000000-0010-0000-0000-000004000000}" name="Brand"/>
    <tableColumn id="5" xr3:uid="{00000000-0010-0000-0000-000005000000}" name="Category"/>
    <tableColumn id="6" xr3:uid="{00000000-0010-0000-0000-000006000000}" name="Price (PKR)"/>
    <tableColumn id="7" xr3:uid="{00000000-0010-0000-0000-000007000000}" nam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egorySummaryTable" displayName="CategorySummaryTable" ref="A4:E29" totalsRowShown="0">
  <autoFilter ref="A4:E29" xr:uid="{00000000-0009-0000-0100-000002000000}"/>
  <tableColumns count="5">
    <tableColumn id="1" xr3:uid="{00000000-0010-0000-0100-000001000000}" name="Category"/>
    <tableColumn id="2" xr3:uid="{00000000-0010-0000-0100-000002000000}" name="Products"/>
    <tableColumn id="3" xr3:uid="{00000000-0010-0000-0100-000003000000}" name="Minimum Price"/>
    <tableColumn id="4" xr3:uid="{00000000-0010-0000-0100-000004000000}" name="Average Price"/>
    <tableColumn id="5" xr3:uid="{00000000-0010-0000-0100-000005000000}" name="Maximum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4"/>
  <sheetViews>
    <sheetView showGridLines="0" tabSelected="1" topLeftCell="A237" workbookViewId="0">
      <selection activeCell="C248" sqref="C248"/>
    </sheetView>
  </sheetViews>
  <sheetFormatPr defaultRowHeight="13.8"/>
  <cols>
    <col min="1" max="1" width="8" customWidth="1"/>
    <col min="2" max="2" width="18" customWidth="1"/>
    <col min="3" max="3" width="38" customWidth="1"/>
    <col min="4" max="4" width="18" customWidth="1"/>
    <col min="5" max="5" width="24" customWidth="1"/>
    <col min="6" max="6" width="18" customWidth="1"/>
    <col min="7" max="7" width="12" customWidth="1"/>
  </cols>
  <sheetData>
    <row r="1" spans="1:7" ht="34.049999999999997" customHeight="1">
      <c r="A1" s="23" t="s">
        <v>0</v>
      </c>
      <c r="B1" s="23"/>
      <c r="C1" s="23"/>
      <c r="D1" s="23"/>
      <c r="E1" s="23"/>
      <c r="F1" s="23"/>
      <c r="G1" s="23"/>
    </row>
    <row r="2" spans="1:7" ht="24" customHeight="1">
      <c r="A2" s="24" t="s">
        <v>1</v>
      </c>
      <c r="B2" s="24"/>
      <c r="C2" s="24"/>
      <c r="D2" s="24"/>
      <c r="E2" s="24"/>
      <c r="F2" s="24"/>
      <c r="G2" s="24"/>
    </row>
    <row r="3" spans="1:7" ht="25.95" customHeight="1">
      <c r="A3" s="25" t="s">
        <v>2</v>
      </c>
      <c r="B3" s="25"/>
      <c r="C3" s="25"/>
      <c r="D3" s="25"/>
      <c r="E3" s="25"/>
      <c r="F3" s="25"/>
      <c r="G3" s="25"/>
    </row>
    <row r="4" spans="1:7" ht="25.95" customHeight="1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3" t="s">
        <v>9</v>
      </c>
    </row>
    <row r="5" spans="1:7" ht="22.05" customHeight="1">
      <c r="A5" s="4">
        <v>1</v>
      </c>
      <c r="B5" s="4" t="s">
        <v>10</v>
      </c>
      <c r="C5" s="7" t="s">
        <v>11</v>
      </c>
      <c r="D5" s="7" t="s">
        <v>12</v>
      </c>
      <c r="E5" s="7" t="s">
        <v>13</v>
      </c>
      <c r="F5" s="6">
        <v>75000</v>
      </c>
      <c r="G5" s="4" t="s">
        <v>14</v>
      </c>
    </row>
    <row r="6" spans="1:7" ht="22.05" customHeight="1">
      <c r="A6" s="4">
        <v>2</v>
      </c>
      <c r="B6" s="4" t="s">
        <v>15</v>
      </c>
      <c r="C6" s="7" t="s">
        <v>16</v>
      </c>
      <c r="D6" s="7" t="s">
        <v>12</v>
      </c>
      <c r="E6" s="7" t="s">
        <v>13</v>
      </c>
      <c r="F6" s="6">
        <v>450000</v>
      </c>
      <c r="G6" s="4" t="s">
        <v>14</v>
      </c>
    </row>
    <row r="7" spans="1:7" ht="22.05" customHeight="1">
      <c r="A7" s="4">
        <v>3</v>
      </c>
      <c r="B7" s="4" t="s">
        <v>17</v>
      </c>
      <c r="C7" s="7" t="s">
        <v>18</v>
      </c>
      <c r="D7" s="7" t="s">
        <v>19</v>
      </c>
      <c r="E7" s="7" t="s">
        <v>13</v>
      </c>
      <c r="F7" s="6">
        <v>340000</v>
      </c>
      <c r="G7" s="4" t="s">
        <v>14</v>
      </c>
    </row>
    <row r="8" spans="1:7" ht="22.05" customHeight="1">
      <c r="A8" s="4">
        <v>4</v>
      </c>
      <c r="B8" s="4" t="s">
        <v>20</v>
      </c>
      <c r="C8" s="7" t="s">
        <v>21</v>
      </c>
      <c r="D8" s="7" t="s">
        <v>19</v>
      </c>
      <c r="E8" s="7" t="s">
        <v>13</v>
      </c>
      <c r="F8" s="6">
        <v>565000</v>
      </c>
      <c r="G8" s="4" t="s">
        <v>14</v>
      </c>
    </row>
    <row r="9" spans="1:7" ht="22.05" customHeight="1">
      <c r="A9" s="4">
        <v>5</v>
      </c>
      <c r="B9" s="4" t="s">
        <v>22</v>
      </c>
      <c r="C9" s="7" t="s">
        <v>23</v>
      </c>
      <c r="D9" s="7" t="s">
        <v>24</v>
      </c>
      <c r="E9" s="7" t="s">
        <v>13</v>
      </c>
      <c r="F9" s="6">
        <v>85000</v>
      </c>
      <c r="G9" s="4" t="s">
        <v>14</v>
      </c>
    </row>
    <row r="10" spans="1:7" ht="22.05" customHeight="1">
      <c r="A10" s="4">
        <v>6</v>
      </c>
      <c r="B10" s="4" t="s">
        <v>25</v>
      </c>
      <c r="C10" s="7" t="s">
        <v>26</v>
      </c>
      <c r="D10" s="7" t="s">
        <v>27</v>
      </c>
      <c r="E10" s="7" t="s">
        <v>13</v>
      </c>
      <c r="F10" s="6">
        <v>80000</v>
      </c>
      <c r="G10" s="4" t="s">
        <v>14</v>
      </c>
    </row>
    <row r="11" spans="1:7" ht="22.05" customHeight="1">
      <c r="A11" s="4">
        <v>7</v>
      </c>
      <c r="B11" s="4" t="s">
        <v>28</v>
      </c>
      <c r="C11" s="7" t="s">
        <v>29</v>
      </c>
      <c r="D11" s="7" t="s">
        <v>30</v>
      </c>
      <c r="E11" s="7" t="s">
        <v>13</v>
      </c>
      <c r="F11" s="6">
        <v>85000</v>
      </c>
      <c r="G11" s="4" t="s">
        <v>14</v>
      </c>
    </row>
    <row r="12" spans="1:7" ht="22.05" customHeight="1">
      <c r="A12" s="4">
        <v>8</v>
      </c>
      <c r="B12" s="4" t="s">
        <v>31</v>
      </c>
      <c r="C12" s="7" t="s">
        <v>32</v>
      </c>
      <c r="D12" s="7" t="s">
        <v>33</v>
      </c>
      <c r="E12" s="7" t="s">
        <v>13</v>
      </c>
      <c r="F12" s="6">
        <v>160000</v>
      </c>
      <c r="G12" s="4" t="s">
        <v>14</v>
      </c>
    </row>
    <row r="13" spans="1:7" ht="22.05" customHeight="1">
      <c r="A13" s="4">
        <v>9</v>
      </c>
      <c r="B13" s="4" t="s">
        <v>34</v>
      </c>
      <c r="C13" s="7" t="s">
        <v>35</v>
      </c>
      <c r="D13" s="7" t="s">
        <v>36</v>
      </c>
      <c r="E13" s="7" t="s">
        <v>13</v>
      </c>
      <c r="F13" s="6">
        <v>180000</v>
      </c>
      <c r="G13" s="4" t="s">
        <v>14</v>
      </c>
    </row>
    <row r="14" spans="1:7" ht="22.05" customHeight="1">
      <c r="A14" s="4">
        <v>10</v>
      </c>
      <c r="B14" s="4" t="s">
        <v>37</v>
      </c>
      <c r="C14" s="7" t="s">
        <v>38</v>
      </c>
      <c r="D14" s="7" t="s">
        <v>39</v>
      </c>
      <c r="E14" s="7" t="s">
        <v>13</v>
      </c>
      <c r="F14" s="6">
        <v>150000</v>
      </c>
      <c r="G14" s="4" t="s">
        <v>14</v>
      </c>
    </row>
    <row r="15" spans="1:7" ht="22.05" customHeight="1">
      <c r="A15" s="4">
        <v>11</v>
      </c>
      <c r="B15" s="4" t="s">
        <v>40</v>
      </c>
      <c r="C15" s="7" t="s">
        <v>41</v>
      </c>
      <c r="D15" s="7" t="s">
        <v>42</v>
      </c>
      <c r="E15" s="7" t="s">
        <v>43</v>
      </c>
      <c r="F15" s="6">
        <v>165000</v>
      </c>
      <c r="G15" s="4" t="s">
        <v>14</v>
      </c>
    </row>
    <row r="16" spans="1:7" ht="22.05" customHeight="1">
      <c r="A16" s="4">
        <v>12</v>
      </c>
      <c r="B16" s="4" t="s">
        <v>44</v>
      </c>
      <c r="C16" s="7" t="s">
        <v>45</v>
      </c>
      <c r="D16" s="7" t="s">
        <v>46</v>
      </c>
      <c r="E16" s="7" t="s">
        <v>43</v>
      </c>
      <c r="F16" s="6">
        <v>180000</v>
      </c>
      <c r="G16" s="4" t="s">
        <v>14</v>
      </c>
    </row>
    <row r="17" spans="1:7" ht="22.05" customHeight="1">
      <c r="A17" s="4">
        <v>13</v>
      </c>
      <c r="B17" s="4" t="s">
        <v>47</v>
      </c>
      <c r="C17" s="7" t="s">
        <v>48</v>
      </c>
      <c r="D17" s="7" t="s">
        <v>49</v>
      </c>
      <c r="E17" s="7" t="s">
        <v>43</v>
      </c>
      <c r="F17" s="6">
        <v>155000</v>
      </c>
      <c r="G17" s="4" t="s">
        <v>14</v>
      </c>
    </row>
    <row r="18" spans="1:7" ht="22.05" customHeight="1">
      <c r="A18" s="4">
        <v>14</v>
      </c>
      <c r="B18" s="4" t="s">
        <v>50</v>
      </c>
      <c r="C18" s="7" t="s">
        <v>51</v>
      </c>
      <c r="D18" s="7" t="s">
        <v>52</v>
      </c>
      <c r="E18" s="7" t="s">
        <v>43</v>
      </c>
      <c r="F18" s="6">
        <v>170000</v>
      </c>
      <c r="G18" s="4" t="s">
        <v>14</v>
      </c>
    </row>
    <row r="19" spans="1:7" ht="22.05" customHeight="1">
      <c r="A19" s="4">
        <v>15</v>
      </c>
      <c r="B19" s="4" t="s">
        <v>53</v>
      </c>
      <c r="C19" s="7" t="s">
        <v>54</v>
      </c>
      <c r="D19" s="7" t="s">
        <v>55</v>
      </c>
      <c r="E19" s="7" t="s">
        <v>43</v>
      </c>
      <c r="F19" s="6">
        <v>195000</v>
      </c>
      <c r="G19" s="4" t="s">
        <v>14</v>
      </c>
    </row>
    <row r="20" spans="1:7" ht="22.05" customHeight="1">
      <c r="A20" s="4">
        <v>16</v>
      </c>
      <c r="B20" s="4" t="s">
        <v>56</v>
      </c>
      <c r="C20" s="7" t="s">
        <v>57</v>
      </c>
      <c r="D20" s="7" t="s">
        <v>19</v>
      </c>
      <c r="E20" s="7" t="s">
        <v>43</v>
      </c>
      <c r="F20" s="6">
        <v>385000</v>
      </c>
      <c r="G20" s="4" t="s">
        <v>14</v>
      </c>
    </row>
    <row r="21" spans="1:7" ht="22.05" customHeight="1">
      <c r="A21" s="4">
        <v>17</v>
      </c>
      <c r="B21" s="4" t="s">
        <v>58</v>
      </c>
      <c r="C21" s="7" t="s">
        <v>59</v>
      </c>
      <c r="D21" s="7" t="s">
        <v>60</v>
      </c>
      <c r="E21" s="7" t="s">
        <v>43</v>
      </c>
      <c r="F21" s="6">
        <v>255000</v>
      </c>
      <c r="G21" s="4" t="s">
        <v>14</v>
      </c>
    </row>
    <row r="22" spans="1:7" ht="22.05" customHeight="1">
      <c r="A22" s="4">
        <v>18</v>
      </c>
      <c r="B22" s="4" t="s">
        <v>61</v>
      </c>
      <c r="C22" s="7" t="s">
        <v>62</v>
      </c>
      <c r="D22" s="7" t="s">
        <v>63</v>
      </c>
      <c r="E22" s="7" t="s">
        <v>43</v>
      </c>
      <c r="F22" s="6">
        <v>420000</v>
      </c>
      <c r="G22" s="4" t="s">
        <v>14</v>
      </c>
    </row>
    <row r="23" spans="1:7" ht="22.05" customHeight="1">
      <c r="A23" s="4">
        <v>19</v>
      </c>
      <c r="B23" s="4" t="s">
        <v>64</v>
      </c>
      <c r="C23" s="7" t="s">
        <v>65</v>
      </c>
      <c r="D23" s="7" t="s">
        <v>66</v>
      </c>
      <c r="E23" s="7" t="s">
        <v>43</v>
      </c>
      <c r="F23" s="6">
        <v>245000</v>
      </c>
      <c r="G23" s="4" t="s">
        <v>14</v>
      </c>
    </row>
    <row r="24" spans="1:7" ht="22.05" customHeight="1">
      <c r="A24" s="4">
        <v>20</v>
      </c>
      <c r="B24" s="4" t="s">
        <v>67</v>
      </c>
      <c r="C24" s="7" t="s">
        <v>68</v>
      </c>
      <c r="D24" s="7" t="s">
        <v>69</v>
      </c>
      <c r="E24" s="7" t="s">
        <v>43</v>
      </c>
      <c r="F24" s="6">
        <v>650000</v>
      </c>
      <c r="G24" s="4" t="s">
        <v>14</v>
      </c>
    </row>
    <row r="25" spans="1:7" ht="22.05" customHeight="1">
      <c r="A25" s="4">
        <v>21</v>
      </c>
      <c r="B25" s="4" t="s">
        <v>70</v>
      </c>
      <c r="C25" s="7" t="s">
        <v>71</v>
      </c>
      <c r="D25" s="7" t="s">
        <v>19</v>
      </c>
      <c r="E25" s="7" t="s">
        <v>72</v>
      </c>
      <c r="F25" s="6">
        <v>130000</v>
      </c>
      <c r="G25" s="4" t="s">
        <v>14</v>
      </c>
    </row>
    <row r="26" spans="1:7" ht="22.05" customHeight="1">
      <c r="A26" s="4">
        <v>22</v>
      </c>
      <c r="B26" s="4" t="s">
        <v>73</v>
      </c>
      <c r="C26" s="7" t="s">
        <v>74</v>
      </c>
      <c r="D26" s="7" t="s">
        <v>12</v>
      </c>
      <c r="E26" s="7" t="s">
        <v>72</v>
      </c>
      <c r="F26" s="6">
        <v>390000</v>
      </c>
      <c r="G26" s="4" t="s">
        <v>14</v>
      </c>
    </row>
    <row r="27" spans="1:7" ht="22.05" customHeight="1">
      <c r="A27" s="4">
        <v>23</v>
      </c>
      <c r="B27" s="4" t="s">
        <v>75</v>
      </c>
      <c r="C27" s="7" t="s">
        <v>76</v>
      </c>
      <c r="D27" s="7" t="s">
        <v>24</v>
      </c>
      <c r="E27" s="7" t="s">
        <v>72</v>
      </c>
      <c r="F27" s="6">
        <v>115000</v>
      </c>
      <c r="G27" s="4" t="s">
        <v>14</v>
      </c>
    </row>
    <row r="28" spans="1:7" ht="22.05" customHeight="1">
      <c r="A28" s="4">
        <v>24</v>
      </c>
      <c r="B28" s="4" t="s">
        <v>77</v>
      </c>
      <c r="C28" s="7" t="s">
        <v>78</v>
      </c>
      <c r="D28" s="7" t="s">
        <v>66</v>
      </c>
      <c r="E28" s="7" t="s">
        <v>72</v>
      </c>
      <c r="F28" s="6">
        <v>105000</v>
      </c>
      <c r="G28" s="4" t="s">
        <v>14</v>
      </c>
    </row>
    <row r="29" spans="1:7" ht="22.05" customHeight="1">
      <c r="A29" s="4">
        <v>25</v>
      </c>
      <c r="B29" s="4" t="s">
        <v>79</v>
      </c>
      <c r="C29" s="7" t="s">
        <v>80</v>
      </c>
      <c r="D29" s="7" t="s">
        <v>49</v>
      </c>
      <c r="E29" s="7" t="s">
        <v>72</v>
      </c>
      <c r="F29" s="6">
        <v>70000</v>
      </c>
      <c r="G29" s="4" t="s">
        <v>14</v>
      </c>
    </row>
    <row r="30" spans="1:7" ht="22.05" customHeight="1">
      <c r="A30" s="4">
        <v>26</v>
      </c>
      <c r="B30" s="4" t="s">
        <v>81</v>
      </c>
      <c r="C30" s="7" t="s">
        <v>82</v>
      </c>
      <c r="D30" s="7" t="s">
        <v>83</v>
      </c>
      <c r="E30" s="7" t="s">
        <v>72</v>
      </c>
      <c r="F30" s="6">
        <v>95000</v>
      </c>
      <c r="G30" s="4" t="s">
        <v>14</v>
      </c>
    </row>
    <row r="31" spans="1:7" ht="22.05" customHeight="1">
      <c r="A31" s="4">
        <v>27</v>
      </c>
      <c r="B31" s="4" t="s">
        <v>84</v>
      </c>
      <c r="C31" s="7" t="s">
        <v>85</v>
      </c>
      <c r="D31" s="7" t="s">
        <v>27</v>
      </c>
      <c r="E31" s="7" t="s">
        <v>72</v>
      </c>
      <c r="F31" s="6">
        <v>45000</v>
      </c>
      <c r="G31" s="4" t="s">
        <v>14</v>
      </c>
    </row>
    <row r="32" spans="1:7" ht="22.05" customHeight="1">
      <c r="A32" s="4">
        <v>28</v>
      </c>
      <c r="B32" s="4" t="s">
        <v>86</v>
      </c>
      <c r="C32" s="7" t="s">
        <v>87</v>
      </c>
      <c r="D32" s="7" t="s">
        <v>30</v>
      </c>
      <c r="E32" s="7" t="s">
        <v>72</v>
      </c>
      <c r="F32" s="6">
        <v>55000</v>
      </c>
      <c r="G32" s="4" t="s">
        <v>14</v>
      </c>
    </row>
    <row r="33" spans="1:7" ht="22.05" customHeight="1">
      <c r="A33" s="4">
        <v>29</v>
      </c>
      <c r="B33" s="4" t="s">
        <v>88</v>
      </c>
      <c r="C33" s="7" t="s">
        <v>89</v>
      </c>
      <c r="D33" s="7" t="s">
        <v>90</v>
      </c>
      <c r="E33" s="7" t="s">
        <v>72</v>
      </c>
      <c r="F33" s="6">
        <v>65000</v>
      </c>
      <c r="G33" s="4" t="s">
        <v>14</v>
      </c>
    </row>
    <row r="34" spans="1:7" ht="22.05" customHeight="1">
      <c r="A34" s="4">
        <v>30</v>
      </c>
      <c r="B34" s="4" t="s">
        <v>91</v>
      </c>
      <c r="C34" s="7" t="s">
        <v>92</v>
      </c>
      <c r="D34" s="7" t="s">
        <v>63</v>
      </c>
      <c r="E34" s="7" t="s">
        <v>72</v>
      </c>
      <c r="F34" s="6">
        <v>470000</v>
      </c>
      <c r="G34" s="4" t="s">
        <v>14</v>
      </c>
    </row>
    <row r="35" spans="1:7" ht="22.05" customHeight="1">
      <c r="A35" s="4">
        <v>31</v>
      </c>
      <c r="B35" s="4" t="s">
        <v>93</v>
      </c>
      <c r="C35" s="7" t="s">
        <v>94</v>
      </c>
      <c r="D35" s="7" t="s">
        <v>12</v>
      </c>
      <c r="E35" s="7" t="s">
        <v>95</v>
      </c>
      <c r="F35" s="6">
        <v>175000</v>
      </c>
      <c r="G35" s="4" t="s">
        <v>14</v>
      </c>
    </row>
    <row r="36" spans="1:7" ht="22.05" customHeight="1">
      <c r="A36" s="4">
        <v>32</v>
      </c>
      <c r="B36" s="4" t="s">
        <v>96</v>
      </c>
      <c r="C36" s="7" t="s">
        <v>97</v>
      </c>
      <c r="D36" s="7" t="s">
        <v>98</v>
      </c>
      <c r="E36" s="7" t="s">
        <v>95</v>
      </c>
      <c r="F36" s="6">
        <v>260000</v>
      </c>
      <c r="G36" s="4" t="s">
        <v>14</v>
      </c>
    </row>
    <row r="37" spans="1:7" ht="22.05" customHeight="1">
      <c r="A37" s="4">
        <v>33</v>
      </c>
      <c r="B37" s="4" t="s">
        <v>99</v>
      </c>
      <c r="C37" s="7" t="s">
        <v>100</v>
      </c>
      <c r="D37" s="7" t="s">
        <v>101</v>
      </c>
      <c r="E37" s="7" t="s">
        <v>95</v>
      </c>
      <c r="F37" s="6">
        <v>300000</v>
      </c>
      <c r="G37" s="4" t="s">
        <v>14</v>
      </c>
    </row>
    <row r="38" spans="1:7" ht="22.05" customHeight="1">
      <c r="A38" s="4">
        <v>34</v>
      </c>
      <c r="B38" s="4" t="s">
        <v>102</v>
      </c>
      <c r="C38" s="7" t="s">
        <v>103</v>
      </c>
      <c r="D38" s="7" t="s">
        <v>104</v>
      </c>
      <c r="E38" s="7" t="s">
        <v>95</v>
      </c>
      <c r="F38" s="6">
        <v>165000</v>
      </c>
      <c r="G38" s="4" t="s">
        <v>14</v>
      </c>
    </row>
    <row r="39" spans="1:7" ht="22.05" customHeight="1">
      <c r="A39" s="4">
        <v>35</v>
      </c>
      <c r="B39" s="4" t="s">
        <v>105</v>
      </c>
      <c r="C39" s="7" t="s">
        <v>106</v>
      </c>
      <c r="D39" s="7" t="s">
        <v>107</v>
      </c>
      <c r="E39" s="7" t="s">
        <v>95</v>
      </c>
      <c r="F39" s="6">
        <v>230000</v>
      </c>
      <c r="G39" s="4" t="s">
        <v>14</v>
      </c>
    </row>
    <row r="40" spans="1:7" ht="22.05" customHeight="1">
      <c r="A40" s="4">
        <v>36</v>
      </c>
      <c r="B40" s="4" t="s">
        <v>108</v>
      </c>
      <c r="C40" s="7" t="s">
        <v>109</v>
      </c>
      <c r="D40" s="7" t="s">
        <v>110</v>
      </c>
      <c r="E40" s="7" t="s">
        <v>95</v>
      </c>
      <c r="F40" s="6">
        <v>140000</v>
      </c>
      <c r="G40" s="4" t="s">
        <v>14</v>
      </c>
    </row>
    <row r="41" spans="1:7" ht="22.05" customHeight="1">
      <c r="A41" s="4">
        <v>37</v>
      </c>
      <c r="B41" s="4" t="s">
        <v>111</v>
      </c>
      <c r="C41" s="7" t="s">
        <v>112</v>
      </c>
      <c r="D41" s="7" t="s">
        <v>113</v>
      </c>
      <c r="E41" s="7" t="s">
        <v>95</v>
      </c>
      <c r="F41" s="6">
        <v>135000</v>
      </c>
      <c r="G41" s="4" t="s">
        <v>14</v>
      </c>
    </row>
    <row r="42" spans="1:7" ht="22.05" customHeight="1">
      <c r="A42" s="4">
        <v>38</v>
      </c>
      <c r="B42" s="4" t="s">
        <v>114</v>
      </c>
      <c r="C42" s="7" t="s">
        <v>115</v>
      </c>
      <c r="D42" s="7" t="s">
        <v>116</v>
      </c>
      <c r="E42" s="7" t="s">
        <v>95</v>
      </c>
      <c r="F42" s="6">
        <v>125000</v>
      </c>
      <c r="G42" s="4" t="s">
        <v>14</v>
      </c>
    </row>
    <row r="43" spans="1:7" ht="22.05" customHeight="1">
      <c r="A43" s="4">
        <v>39</v>
      </c>
      <c r="B43" s="4" t="s">
        <v>117</v>
      </c>
      <c r="C43" s="7" t="s">
        <v>118</v>
      </c>
      <c r="D43" s="7" t="s">
        <v>24</v>
      </c>
      <c r="E43" s="7" t="s">
        <v>95</v>
      </c>
      <c r="F43" s="6">
        <v>160000</v>
      </c>
      <c r="G43" s="4" t="s">
        <v>14</v>
      </c>
    </row>
    <row r="44" spans="1:7" ht="22.05" customHeight="1">
      <c r="A44" s="4">
        <v>40</v>
      </c>
      <c r="B44" s="4" t="s">
        <v>119</v>
      </c>
      <c r="C44" s="7" t="s">
        <v>120</v>
      </c>
      <c r="D44" s="7" t="s">
        <v>121</v>
      </c>
      <c r="E44" s="7" t="s">
        <v>95</v>
      </c>
      <c r="F44" s="6">
        <v>195000</v>
      </c>
      <c r="G44" s="4" t="s">
        <v>14</v>
      </c>
    </row>
    <row r="45" spans="1:7" ht="22.05" customHeight="1">
      <c r="A45" s="4">
        <v>41</v>
      </c>
      <c r="B45" s="4" t="s">
        <v>122</v>
      </c>
      <c r="C45" s="7" t="s">
        <v>123</v>
      </c>
      <c r="D45" s="7" t="s">
        <v>46</v>
      </c>
      <c r="E45" s="7" t="s">
        <v>124</v>
      </c>
      <c r="F45" s="6">
        <v>65000</v>
      </c>
      <c r="G45" s="4" t="s">
        <v>14</v>
      </c>
    </row>
    <row r="46" spans="1:7" ht="22.05" customHeight="1">
      <c r="A46" s="4">
        <v>42</v>
      </c>
      <c r="B46" s="4" t="s">
        <v>125</v>
      </c>
      <c r="C46" s="7" t="s">
        <v>126</v>
      </c>
      <c r="D46" s="7" t="s">
        <v>42</v>
      </c>
      <c r="E46" s="7" t="s">
        <v>124</v>
      </c>
      <c r="F46" s="6">
        <v>55000</v>
      </c>
      <c r="G46" s="4" t="s">
        <v>14</v>
      </c>
    </row>
    <row r="47" spans="1:7" ht="22.05" customHeight="1">
      <c r="A47" s="4">
        <v>43</v>
      </c>
      <c r="B47" s="4" t="s">
        <v>127</v>
      </c>
      <c r="C47" s="7" t="s">
        <v>128</v>
      </c>
      <c r="D47" s="7" t="s">
        <v>49</v>
      </c>
      <c r="E47" s="7" t="s">
        <v>124</v>
      </c>
      <c r="F47" s="6">
        <v>72000</v>
      </c>
      <c r="G47" s="4" t="s">
        <v>14</v>
      </c>
    </row>
    <row r="48" spans="1:7" ht="22.05" customHeight="1">
      <c r="A48" s="4">
        <v>44</v>
      </c>
      <c r="B48" s="4" t="s">
        <v>129</v>
      </c>
      <c r="C48" s="7" t="s">
        <v>130</v>
      </c>
      <c r="D48" s="7" t="s">
        <v>52</v>
      </c>
      <c r="E48" s="7" t="s">
        <v>124</v>
      </c>
      <c r="F48" s="6">
        <v>115000</v>
      </c>
      <c r="G48" s="4" t="s">
        <v>14</v>
      </c>
    </row>
    <row r="49" spans="1:7" ht="22.05" customHeight="1">
      <c r="A49" s="4">
        <v>45</v>
      </c>
      <c r="B49" s="4" t="s">
        <v>131</v>
      </c>
      <c r="C49" s="7" t="s">
        <v>132</v>
      </c>
      <c r="D49" s="7" t="s">
        <v>55</v>
      </c>
      <c r="E49" s="7" t="s">
        <v>124</v>
      </c>
      <c r="F49" s="6">
        <v>105000</v>
      </c>
      <c r="G49" s="4" t="s">
        <v>14</v>
      </c>
    </row>
    <row r="50" spans="1:7" ht="22.05" customHeight="1">
      <c r="A50" s="4">
        <v>46</v>
      </c>
      <c r="B50" s="4" t="s">
        <v>133</v>
      </c>
      <c r="C50" s="7" t="s">
        <v>134</v>
      </c>
      <c r="D50" s="7" t="s">
        <v>12</v>
      </c>
      <c r="E50" s="7" t="s">
        <v>124</v>
      </c>
      <c r="F50" s="6">
        <v>140000</v>
      </c>
      <c r="G50" s="4" t="s">
        <v>14</v>
      </c>
    </row>
    <row r="51" spans="1:7" ht="22.05" customHeight="1">
      <c r="A51" s="4">
        <v>47</v>
      </c>
      <c r="B51" s="4" t="s">
        <v>135</v>
      </c>
      <c r="C51" s="7" t="s">
        <v>136</v>
      </c>
      <c r="D51" s="7" t="s">
        <v>98</v>
      </c>
      <c r="E51" s="7" t="s">
        <v>124</v>
      </c>
      <c r="F51" s="6">
        <v>130000</v>
      </c>
      <c r="G51" s="4" t="s">
        <v>14</v>
      </c>
    </row>
    <row r="52" spans="1:7" ht="22.05" customHeight="1">
      <c r="A52" s="4">
        <v>48</v>
      </c>
      <c r="B52" s="4" t="s">
        <v>137</v>
      </c>
      <c r="C52" s="7" t="s">
        <v>138</v>
      </c>
      <c r="D52" s="7" t="s">
        <v>60</v>
      </c>
      <c r="E52" s="7" t="s">
        <v>124</v>
      </c>
      <c r="F52" s="6">
        <v>125000</v>
      </c>
      <c r="G52" s="4" t="s">
        <v>14</v>
      </c>
    </row>
    <row r="53" spans="1:7" ht="22.05" customHeight="1">
      <c r="A53" s="4">
        <v>49</v>
      </c>
      <c r="B53" s="4" t="s">
        <v>139</v>
      </c>
      <c r="C53" s="7" t="s">
        <v>140</v>
      </c>
      <c r="D53" s="7" t="s">
        <v>141</v>
      </c>
      <c r="E53" s="7" t="s">
        <v>124</v>
      </c>
      <c r="F53" s="6">
        <v>95000</v>
      </c>
      <c r="G53" s="4" t="s">
        <v>14</v>
      </c>
    </row>
    <row r="54" spans="1:7" ht="22.05" customHeight="1">
      <c r="A54" s="4">
        <v>50</v>
      </c>
      <c r="B54" s="4" t="s">
        <v>142</v>
      </c>
      <c r="C54" s="7" t="s">
        <v>143</v>
      </c>
      <c r="D54" s="7" t="s">
        <v>144</v>
      </c>
      <c r="E54" s="7" t="s">
        <v>124</v>
      </c>
      <c r="F54" s="6">
        <v>180000</v>
      </c>
      <c r="G54" s="4" t="s">
        <v>14</v>
      </c>
    </row>
    <row r="55" spans="1:7" ht="22.05" customHeight="1">
      <c r="A55" s="4">
        <v>51</v>
      </c>
      <c r="B55" s="4" t="s">
        <v>145</v>
      </c>
      <c r="C55" s="7" t="s">
        <v>146</v>
      </c>
      <c r="D55" s="7" t="s">
        <v>147</v>
      </c>
      <c r="E55" s="7" t="s">
        <v>148</v>
      </c>
      <c r="F55" s="6">
        <v>240000</v>
      </c>
      <c r="G55" s="4" t="s">
        <v>14</v>
      </c>
    </row>
    <row r="56" spans="1:7" ht="22.05" customHeight="1">
      <c r="A56" s="4">
        <v>52</v>
      </c>
      <c r="B56" s="4" t="s">
        <v>149</v>
      </c>
      <c r="C56" s="7" t="s">
        <v>150</v>
      </c>
      <c r="D56" s="7" t="s">
        <v>151</v>
      </c>
      <c r="E56" s="7" t="s">
        <v>148</v>
      </c>
      <c r="F56" s="6">
        <v>330000</v>
      </c>
      <c r="G56" s="4" t="s">
        <v>14</v>
      </c>
    </row>
    <row r="57" spans="1:7" ht="22.05" customHeight="1">
      <c r="A57" s="4">
        <v>53</v>
      </c>
      <c r="B57" s="4" t="s">
        <v>152</v>
      </c>
      <c r="C57" s="7" t="s">
        <v>153</v>
      </c>
      <c r="D57" s="7" t="s">
        <v>101</v>
      </c>
      <c r="E57" s="7" t="s">
        <v>148</v>
      </c>
      <c r="F57" s="6">
        <v>460000</v>
      </c>
      <c r="G57" s="4" t="s">
        <v>14</v>
      </c>
    </row>
    <row r="58" spans="1:7" ht="22.05" customHeight="1">
      <c r="A58" s="4">
        <v>54</v>
      </c>
      <c r="B58" s="4" t="s">
        <v>154</v>
      </c>
      <c r="C58" s="7" t="s">
        <v>155</v>
      </c>
      <c r="D58" s="7" t="s">
        <v>156</v>
      </c>
      <c r="E58" s="7" t="s">
        <v>148</v>
      </c>
      <c r="F58" s="6">
        <v>420000</v>
      </c>
      <c r="G58" s="4" t="s">
        <v>14</v>
      </c>
    </row>
    <row r="59" spans="1:7" ht="22.05" customHeight="1">
      <c r="A59" s="4">
        <v>55</v>
      </c>
      <c r="B59" s="4" t="s">
        <v>157</v>
      </c>
      <c r="C59" s="7" t="s">
        <v>158</v>
      </c>
      <c r="D59" s="7" t="s">
        <v>159</v>
      </c>
      <c r="E59" s="7" t="s">
        <v>148</v>
      </c>
      <c r="F59" s="6">
        <v>520000</v>
      </c>
      <c r="G59" s="4" t="s">
        <v>14</v>
      </c>
    </row>
    <row r="60" spans="1:7" ht="22.05" customHeight="1">
      <c r="A60" s="4">
        <v>56</v>
      </c>
      <c r="B60" s="4" t="s">
        <v>160</v>
      </c>
      <c r="C60" s="7" t="s">
        <v>161</v>
      </c>
      <c r="D60" s="7" t="s">
        <v>162</v>
      </c>
      <c r="E60" s="7" t="s">
        <v>148</v>
      </c>
      <c r="F60" s="6">
        <v>135000</v>
      </c>
      <c r="G60" s="4" t="s">
        <v>14</v>
      </c>
    </row>
    <row r="61" spans="1:7" ht="22.05" customHeight="1">
      <c r="A61" s="4">
        <v>57</v>
      </c>
      <c r="B61" s="4" t="s">
        <v>163</v>
      </c>
      <c r="C61" s="7" t="s">
        <v>164</v>
      </c>
      <c r="D61" s="7" t="s">
        <v>165</v>
      </c>
      <c r="E61" s="7" t="s">
        <v>148</v>
      </c>
      <c r="F61" s="6">
        <v>125000</v>
      </c>
      <c r="G61" s="4" t="s">
        <v>14</v>
      </c>
    </row>
    <row r="62" spans="1:7" ht="22.05" customHeight="1">
      <c r="A62" s="4">
        <v>58</v>
      </c>
      <c r="B62" s="4" t="s">
        <v>166</v>
      </c>
      <c r="C62" s="7" t="s">
        <v>167</v>
      </c>
      <c r="D62" s="7" t="s">
        <v>168</v>
      </c>
      <c r="E62" s="7" t="s">
        <v>148</v>
      </c>
      <c r="F62" s="6">
        <v>165000</v>
      </c>
      <c r="G62" s="4" t="s">
        <v>14</v>
      </c>
    </row>
    <row r="63" spans="1:7" ht="22.05" customHeight="1">
      <c r="A63" s="4">
        <v>59</v>
      </c>
      <c r="B63" s="4" t="s">
        <v>169</v>
      </c>
      <c r="C63" s="7" t="s">
        <v>170</v>
      </c>
      <c r="D63" s="7" t="s">
        <v>171</v>
      </c>
      <c r="E63" s="7" t="s">
        <v>148</v>
      </c>
      <c r="F63" s="6">
        <v>2400000</v>
      </c>
      <c r="G63" s="4" t="s">
        <v>14</v>
      </c>
    </row>
    <row r="64" spans="1:7" ht="22.05" customHeight="1">
      <c r="A64" s="4">
        <v>60</v>
      </c>
      <c r="B64" s="4" t="s">
        <v>172</v>
      </c>
      <c r="C64" s="7" t="s">
        <v>173</v>
      </c>
      <c r="D64" s="7" t="s">
        <v>174</v>
      </c>
      <c r="E64" s="7" t="s">
        <v>148</v>
      </c>
      <c r="F64" s="6">
        <v>410000</v>
      </c>
      <c r="G64" s="4" t="s">
        <v>14</v>
      </c>
    </row>
    <row r="65" spans="1:7" ht="22.05" customHeight="1">
      <c r="A65" s="4">
        <v>61</v>
      </c>
      <c r="B65" s="4" t="s">
        <v>175</v>
      </c>
      <c r="C65" s="7" t="s">
        <v>176</v>
      </c>
      <c r="D65" s="7" t="s">
        <v>101</v>
      </c>
      <c r="E65" s="7" t="s">
        <v>177</v>
      </c>
      <c r="F65" s="6">
        <v>190000</v>
      </c>
      <c r="G65" s="4" t="s">
        <v>14</v>
      </c>
    </row>
    <row r="66" spans="1:7" ht="22.05" customHeight="1">
      <c r="A66" s="4">
        <v>62</v>
      </c>
      <c r="B66" s="4" t="s">
        <v>178</v>
      </c>
      <c r="C66" s="7" t="s">
        <v>179</v>
      </c>
      <c r="D66" s="7" t="s">
        <v>101</v>
      </c>
      <c r="E66" s="7" t="s">
        <v>177</v>
      </c>
      <c r="F66" s="6">
        <v>320000</v>
      </c>
      <c r="G66" s="4" t="s">
        <v>14</v>
      </c>
    </row>
    <row r="67" spans="1:7" ht="22.05" customHeight="1">
      <c r="A67" s="4">
        <v>63</v>
      </c>
      <c r="B67" s="4" t="s">
        <v>180</v>
      </c>
      <c r="C67" s="7" t="s">
        <v>181</v>
      </c>
      <c r="D67" s="7" t="s">
        <v>63</v>
      </c>
      <c r="E67" s="7" t="s">
        <v>177</v>
      </c>
      <c r="F67" s="6">
        <v>205000</v>
      </c>
      <c r="G67" s="4" t="s">
        <v>14</v>
      </c>
    </row>
    <row r="68" spans="1:7" ht="22.05" customHeight="1">
      <c r="A68" s="4">
        <v>64</v>
      </c>
      <c r="B68" s="4" t="s">
        <v>182</v>
      </c>
      <c r="C68" s="7" t="s">
        <v>183</v>
      </c>
      <c r="D68" s="7" t="s">
        <v>63</v>
      </c>
      <c r="E68" s="7" t="s">
        <v>177</v>
      </c>
      <c r="F68" s="6">
        <v>115000</v>
      </c>
      <c r="G68" s="4" t="s">
        <v>14</v>
      </c>
    </row>
    <row r="69" spans="1:7" ht="22.05" customHeight="1">
      <c r="A69" s="4">
        <v>65</v>
      </c>
      <c r="B69" s="4" t="s">
        <v>184</v>
      </c>
      <c r="C69" s="7" t="s">
        <v>185</v>
      </c>
      <c r="D69" s="7" t="s">
        <v>186</v>
      </c>
      <c r="E69" s="7" t="s">
        <v>177</v>
      </c>
      <c r="F69" s="6">
        <v>105000</v>
      </c>
      <c r="G69" s="4" t="s">
        <v>14</v>
      </c>
    </row>
    <row r="70" spans="1:7" ht="22.05" customHeight="1">
      <c r="A70" s="4">
        <v>66</v>
      </c>
      <c r="B70" s="4" t="s">
        <v>187</v>
      </c>
      <c r="C70" s="7" t="s">
        <v>188</v>
      </c>
      <c r="D70" s="7" t="s">
        <v>186</v>
      </c>
      <c r="E70" s="7" t="s">
        <v>177</v>
      </c>
      <c r="F70" s="6">
        <v>165000</v>
      </c>
      <c r="G70" s="4" t="s">
        <v>14</v>
      </c>
    </row>
    <row r="71" spans="1:7" ht="22.05" customHeight="1">
      <c r="A71" s="4">
        <v>67</v>
      </c>
      <c r="B71" s="4" t="s">
        <v>189</v>
      </c>
      <c r="C71" s="7" t="s">
        <v>190</v>
      </c>
      <c r="D71" s="7" t="s">
        <v>191</v>
      </c>
      <c r="E71" s="7" t="s">
        <v>177</v>
      </c>
      <c r="F71" s="6">
        <v>225000</v>
      </c>
      <c r="G71" s="4" t="s">
        <v>14</v>
      </c>
    </row>
    <row r="72" spans="1:7" ht="22.05" customHeight="1">
      <c r="A72" s="4">
        <v>68</v>
      </c>
      <c r="B72" s="4" t="s">
        <v>192</v>
      </c>
      <c r="C72" s="7" t="s">
        <v>193</v>
      </c>
      <c r="D72" s="7" t="s">
        <v>52</v>
      </c>
      <c r="E72" s="7" t="s">
        <v>177</v>
      </c>
      <c r="F72" s="6">
        <v>290000</v>
      </c>
      <c r="G72" s="4" t="s">
        <v>14</v>
      </c>
    </row>
    <row r="73" spans="1:7" ht="22.05" customHeight="1">
      <c r="A73" s="4">
        <v>69</v>
      </c>
      <c r="B73" s="4" t="s">
        <v>194</v>
      </c>
      <c r="C73" s="7" t="s">
        <v>195</v>
      </c>
      <c r="D73" s="7" t="s">
        <v>49</v>
      </c>
      <c r="E73" s="7" t="s">
        <v>177</v>
      </c>
      <c r="F73" s="6">
        <v>270000</v>
      </c>
      <c r="G73" s="4" t="s">
        <v>14</v>
      </c>
    </row>
    <row r="74" spans="1:7" ht="22.05" customHeight="1">
      <c r="A74" s="4">
        <v>70</v>
      </c>
      <c r="B74" s="4" t="s">
        <v>196</v>
      </c>
      <c r="C74" s="7" t="s">
        <v>197</v>
      </c>
      <c r="D74" s="7" t="s">
        <v>198</v>
      </c>
      <c r="E74" s="7" t="s">
        <v>177</v>
      </c>
      <c r="F74" s="6">
        <v>55000</v>
      </c>
      <c r="G74" s="4" t="s">
        <v>14</v>
      </c>
    </row>
    <row r="75" spans="1:7" ht="22.05" customHeight="1">
      <c r="A75" s="4">
        <v>71</v>
      </c>
      <c r="B75" s="4" t="s">
        <v>199</v>
      </c>
      <c r="C75" s="7" t="s">
        <v>200</v>
      </c>
      <c r="D75" s="7" t="s">
        <v>19</v>
      </c>
      <c r="E75" s="7" t="s">
        <v>201</v>
      </c>
      <c r="F75" s="6">
        <v>135000</v>
      </c>
      <c r="G75" s="4" t="s">
        <v>14</v>
      </c>
    </row>
    <row r="76" spans="1:7" ht="22.05" customHeight="1">
      <c r="A76" s="4">
        <v>72</v>
      </c>
      <c r="B76" s="4" t="s">
        <v>202</v>
      </c>
      <c r="C76" s="7" t="s">
        <v>203</v>
      </c>
      <c r="D76" s="7" t="s">
        <v>19</v>
      </c>
      <c r="E76" s="7" t="s">
        <v>201</v>
      </c>
      <c r="F76" s="6">
        <v>290000</v>
      </c>
      <c r="G76" s="4" t="s">
        <v>14</v>
      </c>
    </row>
    <row r="77" spans="1:7" ht="22.05" customHeight="1">
      <c r="A77" s="4">
        <v>73</v>
      </c>
      <c r="B77" s="4" t="s">
        <v>204</v>
      </c>
      <c r="C77" s="7" t="s">
        <v>205</v>
      </c>
      <c r="D77" s="7" t="s">
        <v>12</v>
      </c>
      <c r="E77" s="7" t="s">
        <v>201</v>
      </c>
      <c r="F77" s="6">
        <v>85000</v>
      </c>
      <c r="G77" s="4" t="s">
        <v>14</v>
      </c>
    </row>
    <row r="78" spans="1:7" ht="22.05" customHeight="1">
      <c r="A78" s="4">
        <v>74</v>
      </c>
      <c r="B78" s="4" t="s">
        <v>206</v>
      </c>
      <c r="C78" s="7" t="s">
        <v>207</v>
      </c>
      <c r="D78" s="7" t="s">
        <v>12</v>
      </c>
      <c r="E78" s="7" t="s">
        <v>201</v>
      </c>
      <c r="F78" s="6">
        <v>180000</v>
      </c>
      <c r="G78" s="4" t="s">
        <v>14</v>
      </c>
    </row>
    <row r="79" spans="1:7" ht="22.05" customHeight="1">
      <c r="A79" s="4">
        <v>75</v>
      </c>
      <c r="B79" s="4" t="s">
        <v>208</v>
      </c>
      <c r="C79" s="7" t="s">
        <v>209</v>
      </c>
      <c r="D79" s="7" t="s">
        <v>66</v>
      </c>
      <c r="E79" s="7" t="s">
        <v>201</v>
      </c>
      <c r="F79" s="6">
        <v>120000</v>
      </c>
      <c r="G79" s="4" t="s">
        <v>14</v>
      </c>
    </row>
    <row r="80" spans="1:7" ht="22.05" customHeight="1">
      <c r="A80" s="4">
        <v>76</v>
      </c>
      <c r="B80" s="4" t="s">
        <v>210</v>
      </c>
      <c r="C80" s="7" t="s">
        <v>211</v>
      </c>
      <c r="D80" s="7" t="s">
        <v>24</v>
      </c>
      <c r="E80" s="7" t="s">
        <v>201</v>
      </c>
      <c r="F80" s="6">
        <v>50000</v>
      </c>
      <c r="G80" s="4" t="s">
        <v>14</v>
      </c>
    </row>
    <row r="81" spans="1:7" ht="22.05" customHeight="1">
      <c r="A81" s="4">
        <v>77</v>
      </c>
      <c r="B81" s="4" t="s">
        <v>212</v>
      </c>
      <c r="C81" s="7" t="s">
        <v>213</v>
      </c>
      <c r="D81" s="7" t="s">
        <v>214</v>
      </c>
      <c r="E81" s="7" t="s">
        <v>201</v>
      </c>
      <c r="F81" s="6">
        <v>160000</v>
      </c>
      <c r="G81" s="4" t="s">
        <v>14</v>
      </c>
    </row>
    <row r="82" spans="1:7" ht="22.05" customHeight="1">
      <c r="A82" s="4">
        <v>78</v>
      </c>
      <c r="B82" s="4" t="s">
        <v>215</v>
      </c>
      <c r="C82" s="7" t="s">
        <v>216</v>
      </c>
      <c r="D82" s="7" t="s">
        <v>217</v>
      </c>
      <c r="E82" s="7" t="s">
        <v>201</v>
      </c>
      <c r="F82" s="6">
        <v>75000</v>
      </c>
      <c r="G82" s="4" t="s">
        <v>14</v>
      </c>
    </row>
    <row r="83" spans="1:7" ht="22.05" customHeight="1">
      <c r="A83" s="4">
        <v>79</v>
      </c>
      <c r="B83" s="4" t="s">
        <v>218</v>
      </c>
      <c r="C83" s="7" t="s">
        <v>219</v>
      </c>
      <c r="D83" s="7" t="s">
        <v>220</v>
      </c>
      <c r="E83" s="7" t="s">
        <v>201</v>
      </c>
      <c r="F83" s="6">
        <v>15000</v>
      </c>
      <c r="G83" s="4" t="s">
        <v>14</v>
      </c>
    </row>
    <row r="84" spans="1:7" ht="22.05" customHeight="1">
      <c r="A84" s="4">
        <v>80</v>
      </c>
      <c r="B84" s="4" t="s">
        <v>221</v>
      </c>
      <c r="C84" s="7" t="s">
        <v>222</v>
      </c>
      <c r="D84" s="7" t="s">
        <v>223</v>
      </c>
      <c r="E84" s="7" t="s">
        <v>201</v>
      </c>
      <c r="F84" s="6">
        <v>80000</v>
      </c>
      <c r="G84" s="4" t="s">
        <v>14</v>
      </c>
    </row>
    <row r="85" spans="1:7" ht="22.05" customHeight="1">
      <c r="A85" s="4">
        <v>81</v>
      </c>
      <c r="B85" s="4" t="s">
        <v>224</v>
      </c>
      <c r="C85" s="7" t="s">
        <v>225</v>
      </c>
      <c r="D85" s="7" t="s">
        <v>101</v>
      </c>
      <c r="E85" s="7" t="s">
        <v>226</v>
      </c>
      <c r="F85" s="6">
        <v>105000</v>
      </c>
      <c r="G85" s="4" t="s">
        <v>14</v>
      </c>
    </row>
    <row r="86" spans="1:7" ht="22.05" customHeight="1">
      <c r="A86" s="4">
        <v>82</v>
      </c>
      <c r="B86" s="4" t="s">
        <v>227</v>
      </c>
      <c r="C86" s="7" t="s">
        <v>228</v>
      </c>
      <c r="D86" s="7" t="s">
        <v>229</v>
      </c>
      <c r="E86" s="7" t="s">
        <v>226</v>
      </c>
      <c r="F86" s="6">
        <v>145000</v>
      </c>
      <c r="G86" s="4" t="s">
        <v>14</v>
      </c>
    </row>
    <row r="87" spans="1:7" ht="22.05" customHeight="1">
      <c r="A87" s="4">
        <v>83</v>
      </c>
      <c r="B87" s="4" t="s">
        <v>230</v>
      </c>
      <c r="C87" s="7" t="s">
        <v>231</v>
      </c>
      <c r="D87" s="7" t="s">
        <v>19</v>
      </c>
      <c r="E87" s="7" t="s">
        <v>226</v>
      </c>
      <c r="F87" s="6">
        <v>175000</v>
      </c>
      <c r="G87" s="4" t="s">
        <v>14</v>
      </c>
    </row>
    <row r="88" spans="1:7" ht="22.05" customHeight="1">
      <c r="A88" s="4">
        <v>84</v>
      </c>
      <c r="B88" s="4" t="s">
        <v>232</v>
      </c>
      <c r="C88" s="7" t="s">
        <v>233</v>
      </c>
      <c r="D88" s="7" t="s">
        <v>234</v>
      </c>
      <c r="E88" s="7" t="s">
        <v>226</v>
      </c>
      <c r="F88" s="6">
        <v>100000</v>
      </c>
      <c r="G88" s="4" t="s">
        <v>14</v>
      </c>
    </row>
    <row r="89" spans="1:7" ht="22.05" customHeight="1">
      <c r="A89" s="4">
        <v>85</v>
      </c>
      <c r="B89" s="4" t="s">
        <v>235</v>
      </c>
      <c r="C89" s="7" t="s">
        <v>236</v>
      </c>
      <c r="D89" s="7" t="s">
        <v>237</v>
      </c>
      <c r="E89" s="7" t="s">
        <v>226</v>
      </c>
      <c r="F89" s="6">
        <v>75000</v>
      </c>
      <c r="G89" s="4" t="s">
        <v>14</v>
      </c>
    </row>
    <row r="90" spans="1:7" ht="22.05" customHeight="1">
      <c r="A90" s="4">
        <v>86</v>
      </c>
      <c r="B90" s="4" t="s">
        <v>238</v>
      </c>
      <c r="C90" s="7" t="s">
        <v>239</v>
      </c>
      <c r="D90" s="7" t="s">
        <v>240</v>
      </c>
      <c r="E90" s="7" t="s">
        <v>226</v>
      </c>
      <c r="F90" s="6">
        <v>95000</v>
      </c>
      <c r="G90" s="4" t="s">
        <v>14</v>
      </c>
    </row>
    <row r="91" spans="1:7" ht="22.05" customHeight="1">
      <c r="A91" s="4">
        <v>87</v>
      </c>
      <c r="B91" s="4" t="s">
        <v>241</v>
      </c>
      <c r="C91" s="7" t="s">
        <v>242</v>
      </c>
      <c r="D91" s="7" t="s">
        <v>243</v>
      </c>
      <c r="E91" s="7" t="s">
        <v>226</v>
      </c>
      <c r="F91" s="6">
        <v>35000</v>
      </c>
      <c r="G91" s="4" t="s">
        <v>14</v>
      </c>
    </row>
    <row r="92" spans="1:7" ht="22.05" customHeight="1">
      <c r="A92" s="4">
        <v>88</v>
      </c>
      <c r="B92" s="4" t="s">
        <v>244</v>
      </c>
      <c r="C92" s="7" t="s">
        <v>245</v>
      </c>
      <c r="D92" s="7" t="s">
        <v>246</v>
      </c>
      <c r="E92" s="7" t="s">
        <v>226</v>
      </c>
      <c r="F92" s="6">
        <v>65000</v>
      </c>
      <c r="G92" s="4" t="s">
        <v>14</v>
      </c>
    </row>
    <row r="93" spans="1:7" ht="22.05" customHeight="1">
      <c r="A93" s="4">
        <v>89</v>
      </c>
      <c r="B93" s="4" t="s">
        <v>247</v>
      </c>
      <c r="C93" s="7" t="s">
        <v>248</v>
      </c>
      <c r="D93" s="7" t="s">
        <v>249</v>
      </c>
      <c r="E93" s="7" t="s">
        <v>226</v>
      </c>
      <c r="F93" s="6">
        <v>50000</v>
      </c>
      <c r="G93" s="4" t="s">
        <v>14</v>
      </c>
    </row>
    <row r="94" spans="1:7" ht="22.05" customHeight="1">
      <c r="A94" s="4">
        <v>90</v>
      </c>
      <c r="B94" s="4" t="s">
        <v>250</v>
      </c>
      <c r="C94" s="7" t="s">
        <v>251</v>
      </c>
      <c r="D94" s="7" t="s">
        <v>252</v>
      </c>
      <c r="E94" s="7" t="s">
        <v>226</v>
      </c>
      <c r="F94" s="6">
        <v>80000</v>
      </c>
      <c r="G94" s="4" t="s">
        <v>14</v>
      </c>
    </row>
    <row r="95" spans="1:7" ht="22.05" customHeight="1">
      <c r="A95" s="4">
        <v>91</v>
      </c>
      <c r="B95" s="4" t="s">
        <v>253</v>
      </c>
      <c r="C95" s="7" t="s">
        <v>254</v>
      </c>
      <c r="D95" s="7" t="s">
        <v>19</v>
      </c>
      <c r="E95" s="7" t="s">
        <v>255</v>
      </c>
      <c r="F95" s="6">
        <v>85000</v>
      </c>
      <c r="G95" s="4" t="s">
        <v>14</v>
      </c>
    </row>
    <row r="96" spans="1:7" ht="22.05" customHeight="1">
      <c r="A96" s="4">
        <v>92</v>
      </c>
      <c r="B96" s="4" t="s">
        <v>256</v>
      </c>
      <c r="C96" s="7" t="s">
        <v>257</v>
      </c>
      <c r="D96" s="7" t="s">
        <v>12</v>
      </c>
      <c r="E96" s="7" t="s">
        <v>255</v>
      </c>
      <c r="F96" s="6">
        <v>58000</v>
      </c>
      <c r="G96" s="4" t="s">
        <v>14</v>
      </c>
    </row>
    <row r="97" spans="1:7" ht="22.05" customHeight="1">
      <c r="A97" s="4">
        <v>93</v>
      </c>
      <c r="B97" s="4" t="s">
        <v>258</v>
      </c>
      <c r="C97" s="7" t="s">
        <v>259</v>
      </c>
      <c r="D97" s="7" t="s">
        <v>101</v>
      </c>
      <c r="E97" s="7" t="s">
        <v>255</v>
      </c>
      <c r="F97" s="6">
        <v>80000</v>
      </c>
      <c r="G97" s="4" t="s">
        <v>14</v>
      </c>
    </row>
    <row r="98" spans="1:7" ht="22.05" customHeight="1">
      <c r="A98" s="4">
        <v>94</v>
      </c>
      <c r="B98" s="4" t="s">
        <v>260</v>
      </c>
      <c r="C98" s="7" t="s">
        <v>261</v>
      </c>
      <c r="D98" s="7" t="s">
        <v>229</v>
      </c>
      <c r="E98" s="7" t="s">
        <v>255</v>
      </c>
      <c r="F98" s="6">
        <v>95000</v>
      </c>
      <c r="G98" s="4" t="s">
        <v>14</v>
      </c>
    </row>
    <row r="99" spans="1:7" ht="22.05" customHeight="1">
      <c r="A99" s="4">
        <v>95</v>
      </c>
      <c r="B99" s="4" t="s">
        <v>262</v>
      </c>
      <c r="C99" s="7" t="s">
        <v>263</v>
      </c>
      <c r="D99" s="7" t="s">
        <v>237</v>
      </c>
      <c r="E99" s="7" t="s">
        <v>255</v>
      </c>
      <c r="F99" s="6">
        <v>45000</v>
      </c>
      <c r="G99" s="4" t="s">
        <v>14</v>
      </c>
    </row>
    <row r="100" spans="1:7" ht="22.05" customHeight="1">
      <c r="A100" s="4">
        <v>96</v>
      </c>
      <c r="B100" s="4" t="s">
        <v>264</v>
      </c>
      <c r="C100" s="7" t="s">
        <v>265</v>
      </c>
      <c r="D100" s="7" t="s">
        <v>243</v>
      </c>
      <c r="E100" s="7" t="s">
        <v>255</v>
      </c>
      <c r="F100" s="6">
        <v>25000</v>
      </c>
      <c r="G100" s="4" t="s">
        <v>14</v>
      </c>
    </row>
    <row r="101" spans="1:7" ht="22.05" customHeight="1">
      <c r="A101" s="4">
        <v>97</v>
      </c>
      <c r="B101" s="4" t="s">
        <v>266</v>
      </c>
      <c r="C101" s="7" t="s">
        <v>267</v>
      </c>
      <c r="D101" s="7" t="s">
        <v>268</v>
      </c>
      <c r="E101" s="7" t="s">
        <v>255</v>
      </c>
      <c r="F101" s="6">
        <v>42000</v>
      </c>
      <c r="G101" s="4" t="s">
        <v>14</v>
      </c>
    </row>
    <row r="102" spans="1:7" ht="22.05" customHeight="1">
      <c r="A102" s="4">
        <v>98</v>
      </c>
      <c r="B102" s="4" t="s">
        <v>269</v>
      </c>
      <c r="C102" s="7" t="s">
        <v>270</v>
      </c>
      <c r="D102" s="7" t="s">
        <v>24</v>
      </c>
      <c r="E102" s="7" t="s">
        <v>255</v>
      </c>
      <c r="F102" s="6">
        <v>45000</v>
      </c>
      <c r="G102" s="4" t="s">
        <v>14</v>
      </c>
    </row>
    <row r="103" spans="1:7" ht="22.05" customHeight="1">
      <c r="A103" s="4">
        <v>99</v>
      </c>
      <c r="B103" s="4" t="s">
        <v>271</v>
      </c>
      <c r="C103" s="7" t="s">
        <v>272</v>
      </c>
      <c r="D103" s="7" t="s">
        <v>66</v>
      </c>
      <c r="E103" s="7" t="s">
        <v>255</v>
      </c>
      <c r="F103" s="6">
        <v>25000</v>
      </c>
      <c r="G103" s="4" t="s">
        <v>14</v>
      </c>
    </row>
    <row r="104" spans="1:7" ht="22.05" customHeight="1">
      <c r="A104" s="4">
        <v>100</v>
      </c>
      <c r="B104" s="4" t="s">
        <v>273</v>
      </c>
      <c r="C104" s="7" t="s">
        <v>274</v>
      </c>
      <c r="D104" s="7" t="s">
        <v>275</v>
      </c>
      <c r="E104" s="7" t="s">
        <v>255</v>
      </c>
      <c r="F104" s="6">
        <v>6000</v>
      </c>
      <c r="G104" s="4" t="s">
        <v>14</v>
      </c>
    </row>
    <row r="105" spans="1:7" ht="22.05" customHeight="1">
      <c r="A105" s="4">
        <v>101</v>
      </c>
      <c r="B105" s="4" t="s">
        <v>276</v>
      </c>
      <c r="C105" s="7" t="s">
        <v>277</v>
      </c>
      <c r="D105" s="7" t="s">
        <v>237</v>
      </c>
      <c r="E105" s="7" t="s">
        <v>278</v>
      </c>
      <c r="F105" s="6">
        <v>38000</v>
      </c>
      <c r="G105" s="4" t="s">
        <v>14</v>
      </c>
    </row>
    <row r="106" spans="1:7" ht="22.05" customHeight="1">
      <c r="A106" s="4">
        <v>102</v>
      </c>
      <c r="B106" s="4" t="s">
        <v>279</v>
      </c>
      <c r="C106" s="7" t="s">
        <v>280</v>
      </c>
      <c r="D106" s="7" t="s">
        <v>237</v>
      </c>
      <c r="E106" s="7" t="s">
        <v>278</v>
      </c>
      <c r="F106" s="6">
        <v>55000</v>
      </c>
      <c r="G106" s="4" t="s">
        <v>14</v>
      </c>
    </row>
    <row r="107" spans="1:7" ht="22.05" customHeight="1">
      <c r="A107" s="4">
        <v>103</v>
      </c>
      <c r="B107" s="4" t="s">
        <v>281</v>
      </c>
      <c r="C107" s="7" t="s">
        <v>282</v>
      </c>
      <c r="D107" s="7" t="s">
        <v>229</v>
      </c>
      <c r="E107" s="7" t="s">
        <v>278</v>
      </c>
      <c r="F107" s="6">
        <v>125000</v>
      </c>
      <c r="G107" s="4" t="s">
        <v>14</v>
      </c>
    </row>
    <row r="108" spans="1:7" ht="22.05" customHeight="1">
      <c r="A108" s="4">
        <v>104</v>
      </c>
      <c r="B108" s="4" t="s">
        <v>283</v>
      </c>
      <c r="C108" s="7" t="s">
        <v>284</v>
      </c>
      <c r="D108" s="7" t="s">
        <v>101</v>
      </c>
      <c r="E108" s="7" t="s">
        <v>278</v>
      </c>
      <c r="F108" s="6">
        <v>135000</v>
      </c>
      <c r="G108" s="4" t="s">
        <v>14</v>
      </c>
    </row>
    <row r="109" spans="1:7" ht="22.05" customHeight="1">
      <c r="A109" s="4">
        <v>105</v>
      </c>
      <c r="B109" s="4" t="s">
        <v>285</v>
      </c>
      <c r="C109" s="7" t="s">
        <v>286</v>
      </c>
      <c r="D109" s="7" t="s">
        <v>287</v>
      </c>
      <c r="E109" s="7" t="s">
        <v>278</v>
      </c>
      <c r="F109" s="6">
        <v>115000</v>
      </c>
      <c r="G109" s="4" t="s">
        <v>14</v>
      </c>
    </row>
    <row r="110" spans="1:7" ht="22.05" customHeight="1">
      <c r="A110" s="4">
        <v>106</v>
      </c>
      <c r="B110" s="4" t="s">
        <v>288</v>
      </c>
      <c r="C110" s="7" t="s">
        <v>289</v>
      </c>
      <c r="D110" s="7" t="s">
        <v>243</v>
      </c>
      <c r="E110" s="7" t="s">
        <v>278</v>
      </c>
      <c r="F110" s="6">
        <v>40000</v>
      </c>
      <c r="G110" s="4" t="s">
        <v>14</v>
      </c>
    </row>
    <row r="111" spans="1:7" ht="22.05" customHeight="1">
      <c r="A111" s="4">
        <v>107</v>
      </c>
      <c r="B111" s="4" t="s">
        <v>290</v>
      </c>
      <c r="C111" s="7" t="s">
        <v>291</v>
      </c>
      <c r="D111" s="7" t="s">
        <v>292</v>
      </c>
      <c r="E111" s="7" t="s">
        <v>278</v>
      </c>
      <c r="F111" s="6">
        <v>95000</v>
      </c>
      <c r="G111" s="4" t="s">
        <v>14</v>
      </c>
    </row>
    <row r="112" spans="1:7" ht="22.05" customHeight="1">
      <c r="A112" s="4">
        <v>108</v>
      </c>
      <c r="B112" s="4" t="s">
        <v>293</v>
      </c>
      <c r="C112" s="7" t="s">
        <v>294</v>
      </c>
      <c r="D112" s="7" t="s">
        <v>295</v>
      </c>
      <c r="E112" s="7" t="s">
        <v>278</v>
      </c>
      <c r="F112" s="6">
        <v>48000</v>
      </c>
      <c r="G112" s="4" t="s">
        <v>14</v>
      </c>
    </row>
    <row r="113" spans="1:7" ht="22.05" customHeight="1">
      <c r="A113" s="4">
        <v>109</v>
      </c>
      <c r="B113" s="4" t="s">
        <v>296</v>
      </c>
      <c r="C113" s="7" t="s">
        <v>297</v>
      </c>
      <c r="D113" s="7" t="s">
        <v>275</v>
      </c>
      <c r="E113" s="7" t="s">
        <v>278</v>
      </c>
      <c r="F113" s="6">
        <v>18000</v>
      </c>
      <c r="G113" s="4" t="s">
        <v>14</v>
      </c>
    </row>
    <row r="114" spans="1:7" ht="22.05" customHeight="1">
      <c r="A114" s="4">
        <v>110</v>
      </c>
      <c r="B114" s="4" t="s">
        <v>298</v>
      </c>
      <c r="C114" s="7" t="s">
        <v>299</v>
      </c>
      <c r="D114" s="7" t="s">
        <v>300</v>
      </c>
      <c r="E114" s="7" t="s">
        <v>278</v>
      </c>
      <c r="F114" s="6">
        <v>15000</v>
      </c>
      <c r="G114" s="4" t="s">
        <v>14</v>
      </c>
    </row>
    <row r="115" spans="1:7" ht="22.05" customHeight="1">
      <c r="A115" s="4">
        <v>111</v>
      </c>
      <c r="B115" s="4" t="s">
        <v>301</v>
      </c>
      <c r="C115" s="7" t="s">
        <v>302</v>
      </c>
      <c r="D115" s="7" t="s">
        <v>303</v>
      </c>
      <c r="E115" s="7" t="s">
        <v>304</v>
      </c>
      <c r="F115" s="6">
        <v>17000</v>
      </c>
      <c r="G115" s="4" t="s">
        <v>14</v>
      </c>
    </row>
    <row r="116" spans="1:7" ht="22.05" customHeight="1">
      <c r="A116" s="4">
        <v>112</v>
      </c>
      <c r="B116" s="4" t="s">
        <v>305</v>
      </c>
      <c r="C116" s="7" t="s">
        <v>306</v>
      </c>
      <c r="D116" s="7" t="s">
        <v>303</v>
      </c>
      <c r="E116" s="7" t="s">
        <v>304</v>
      </c>
      <c r="F116" s="6">
        <v>42000</v>
      </c>
      <c r="G116" s="4" t="s">
        <v>14</v>
      </c>
    </row>
    <row r="117" spans="1:7" ht="22.05" customHeight="1">
      <c r="A117" s="4">
        <v>113</v>
      </c>
      <c r="B117" s="4" t="s">
        <v>307</v>
      </c>
      <c r="C117" s="7" t="s">
        <v>308</v>
      </c>
      <c r="D117" s="7" t="s">
        <v>309</v>
      </c>
      <c r="E117" s="7" t="s">
        <v>304</v>
      </c>
      <c r="F117" s="6">
        <v>13000</v>
      </c>
      <c r="G117" s="4" t="s">
        <v>14</v>
      </c>
    </row>
    <row r="118" spans="1:7" ht="22.05" customHeight="1">
      <c r="A118" s="4">
        <v>114</v>
      </c>
      <c r="B118" s="4" t="s">
        <v>310</v>
      </c>
      <c r="C118" s="7" t="s">
        <v>311</v>
      </c>
      <c r="D118" s="7" t="s">
        <v>66</v>
      </c>
      <c r="E118" s="7" t="s">
        <v>304</v>
      </c>
      <c r="F118" s="6">
        <v>18000</v>
      </c>
      <c r="G118" s="4" t="s">
        <v>14</v>
      </c>
    </row>
    <row r="119" spans="1:7" ht="22.05" customHeight="1">
      <c r="A119" s="4">
        <v>115</v>
      </c>
      <c r="B119" s="4" t="s">
        <v>312</v>
      </c>
      <c r="C119" s="7" t="s">
        <v>313</v>
      </c>
      <c r="D119" s="7" t="s">
        <v>314</v>
      </c>
      <c r="E119" s="7" t="s">
        <v>304</v>
      </c>
      <c r="F119" s="6">
        <v>12000</v>
      </c>
      <c r="G119" s="4" t="s">
        <v>14</v>
      </c>
    </row>
    <row r="120" spans="1:7" ht="22.05" customHeight="1">
      <c r="A120" s="4">
        <v>116</v>
      </c>
      <c r="B120" s="4" t="s">
        <v>315</v>
      </c>
      <c r="C120" s="7" t="s">
        <v>316</v>
      </c>
      <c r="D120" s="7" t="s">
        <v>317</v>
      </c>
      <c r="E120" s="7" t="s">
        <v>304</v>
      </c>
      <c r="F120" s="6">
        <v>65000</v>
      </c>
      <c r="G120" s="4" t="s">
        <v>14</v>
      </c>
    </row>
    <row r="121" spans="1:7" ht="22.05" customHeight="1">
      <c r="A121" s="4">
        <v>117</v>
      </c>
      <c r="B121" s="4" t="s">
        <v>318</v>
      </c>
      <c r="C121" s="7" t="s">
        <v>319</v>
      </c>
      <c r="D121" s="7" t="s">
        <v>52</v>
      </c>
      <c r="E121" s="7" t="s">
        <v>304</v>
      </c>
      <c r="F121" s="6">
        <v>85000</v>
      </c>
      <c r="G121" s="4" t="s">
        <v>14</v>
      </c>
    </row>
    <row r="122" spans="1:7" ht="22.05" customHeight="1">
      <c r="A122" s="4">
        <v>118</v>
      </c>
      <c r="B122" s="4" t="s">
        <v>320</v>
      </c>
      <c r="C122" s="7" t="s">
        <v>321</v>
      </c>
      <c r="D122" s="7" t="s">
        <v>24</v>
      </c>
      <c r="E122" s="7" t="s">
        <v>304</v>
      </c>
      <c r="F122" s="6">
        <v>15000</v>
      </c>
      <c r="G122" s="4" t="s">
        <v>14</v>
      </c>
    </row>
    <row r="123" spans="1:7" ht="22.05" customHeight="1">
      <c r="A123" s="4">
        <v>119</v>
      </c>
      <c r="B123" s="4" t="s">
        <v>322</v>
      </c>
      <c r="C123" s="7" t="s">
        <v>323</v>
      </c>
      <c r="D123" s="7" t="s">
        <v>324</v>
      </c>
      <c r="E123" s="7" t="s">
        <v>304</v>
      </c>
      <c r="F123" s="6">
        <v>14000</v>
      </c>
      <c r="G123" s="4" t="s">
        <v>14</v>
      </c>
    </row>
    <row r="124" spans="1:7" ht="22.05" customHeight="1">
      <c r="A124" s="4">
        <v>120</v>
      </c>
      <c r="B124" s="4" t="s">
        <v>325</v>
      </c>
      <c r="C124" s="7" t="s">
        <v>326</v>
      </c>
      <c r="D124" s="7" t="s">
        <v>327</v>
      </c>
      <c r="E124" s="7" t="s">
        <v>304</v>
      </c>
      <c r="F124" s="6">
        <v>110000</v>
      </c>
      <c r="G124" s="4" t="s">
        <v>14</v>
      </c>
    </row>
    <row r="125" spans="1:7" ht="22.05" customHeight="1">
      <c r="A125" s="4">
        <v>121</v>
      </c>
      <c r="B125" s="4" t="s">
        <v>328</v>
      </c>
      <c r="C125" s="7" t="s">
        <v>329</v>
      </c>
      <c r="D125" s="7" t="s">
        <v>243</v>
      </c>
      <c r="E125" s="7" t="s">
        <v>330</v>
      </c>
      <c r="F125" s="6">
        <v>9000</v>
      </c>
      <c r="G125" s="4" t="s">
        <v>14</v>
      </c>
    </row>
    <row r="126" spans="1:7" ht="22.05" customHeight="1">
      <c r="A126" s="4">
        <v>122</v>
      </c>
      <c r="B126" s="4" t="s">
        <v>331</v>
      </c>
      <c r="C126" s="7" t="s">
        <v>332</v>
      </c>
      <c r="D126" s="7" t="s">
        <v>243</v>
      </c>
      <c r="E126" s="7" t="s">
        <v>330</v>
      </c>
      <c r="F126" s="6">
        <v>55000</v>
      </c>
      <c r="G126" s="4" t="s">
        <v>14</v>
      </c>
    </row>
    <row r="127" spans="1:7" ht="22.05" customHeight="1">
      <c r="A127" s="4">
        <v>123</v>
      </c>
      <c r="B127" s="4" t="s">
        <v>333</v>
      </c>
      <c r="C127" s="7" t="s">
        <v>334</v>
      </c>
      <c r="D127" s="7" t="s">
        <v>24</v>
      </c>
      <c r="E127" s="7" t="s">
        <v>330</v>
      </c>
      <c r="F127" s="6">
        <v>15000</v>
      </c>
      <c r="G127" s="4" t="s">
        <v>14</v>
      </c>
    </row>
    <row r="128" spans="1:7" ht="22.05" customHeight="1">
      <c r="A128" s="4">
        <v>124</v>
      </c>
      <c r="B128" s="4" t="s">
        <v>335</v>
      </c>
      <c r="C128" s="7" t="s">
        <v>336</v>
      </c>
      <c r="D128" s="7" t="s">
        <v>12</v>
      </c>
      <c r="E128" s="7" t="s">
        <v>330</v>
      </c>
      <c r="F128" s="6">
        <v>22000</v>
      </c>
      <c r="G128" s="4" t="s">
        <v>14</v>
      </c>
    </row>
    <row r="129" spans="1:7" ht="22.05" customHeight="1">
      <c r="A129" s="4">
        <v>125</v>
      </c>
      <c r="B129" s="4" t="s">
        <v>337</v>
      </c>
      <c r="C129" s="7" t="s">
        <v>338</v>
      </c>
      <c r="D129" s="7" t="s">
        <v>339</v>
      </c>
      <c r="E129" s="7" t="s">
        <v>330</v>
      </c>
      <c r="F129" s="6">
        <v>30000</v>
      </c>
      <c r="G129" s="4" t="s">
        <v>14</v>
      </c>
    </row>
    <row r="130" spans="1:7" ht="22.05" customHeight="1">
      <c r="A130" s="4">
        <v>126</v>
      </c>
      <c r="B130" s="4" t="s">
        <v>340</v>
      </c>
      <c r="C130" s="7" t="s">
        <v>341</v>
      </c>
      <c r="D130" s="7" t="s">
        <v>342</v>
      </c>
      <c r="E130" s="7" t="s">
        <v>330</v>
      </c>
      <c r="F130" s="6">
        <v>8000</v>
      </c>
      <c r="G130" s="4" t="s">
        <v>14</v>
      </c>
    </row>
    <row r="131" spans="1:7" ht="22.05" customHeight="1">
      <c r="A131" s="4">
        <v>127</v>
      </c>
      <c r="B131" s="4" t="s">
        <v>343</v>
      </c>
      <c r="C131" s="7" t="s">
        <v>344</v>
      </c>
      <c r="D131" s="7" t="s">
        <v>275</v>
      </c>
      <c r="E131" s="7" t="s">
        <v>330</v>
      </c>
      <c r="F131" s="6">
        <v>5000</v>
      </c>
      <c r="G131" s="4" t="s">
        <v>14</v>
      </c>
    </row>
    <row r="132" spans="1:7" ht="22.05" customHeight="1">
      <c r="A132" s="4">
        <v>128</v>
      </c>
      <c r="B132" s="4" t="s">
        <v>345</v>
      </c>
      <c r="C132" s="7" t="s">
        <v>346</v>
      </c>
      <c r="D132" s="7" t="s">
        <v>300</v>
      </c>
      <c r="E132" s="7" t="s">
        <v>330</v>
      </c>
      <c r="F132" s="6">
        <v>6000</v>
      </c>
      <c r="G132" s="4" t="s">
        <v>14</v>
      </c>
    </row>
    <row r="133" spans="1:7" ht="22.05" customHeight="1">
      <c r="A133" s="4">
        <v>129</v>
      </c>
      <c r="B133" s="4" t="s">
        <v>347</v>
      </c>
      <c r="C133" s="7" t="s">
        <v>348</v>
      </c>
      <c r="D133" s="7" t="s">
        <v>349</v>
      </c>
      <c r="E133" s="7" t="s">
        <v>330</v>
      </c>
      <c r="F133" s="6">
        <v>35000</v>
      </c>
      <c r="G133" s="4" t="s">
        <v>14</v>
      </c>
    </row>
    <row r="134" spans="1:7" ht="22.05" customHeight="1">
      <c r="A134" s="4">
        <v>130</v>
      </c>
      <c r="B134" s="4" t="s">
        <v>350</v>
      </c>
      <c r="C134" s="7" t="s">
        <v>351</v>
      </c>
      <c r="D134" s="7" t="s">
        <v>352</v>
      </c>
      <c r="E134" s="7" t="s">
        <v>330</v>
      </c>
      <c r="F134" s="6">
        <v>18000</v>
      </c>
      <c r="G134" s="4" t="s">
        <v>14</v>
      </c>
    </row>
    <row r="135" spans="1:7" ht="22.05" customHeight="1">
      <c r="A135" s="4">
        <v>131</v>
      </c>
      <c r="B135" s="4" t="s">
        <v>353</v>
      </c>
      <c r="C135" s="7" t="s">
        <v>354</v>
      </c>
      <c r="D135" s="7" t="s">
        <v>19</v>
      </c>
      <c r="E135" s="7" t="s">
        <v>355</v>
      </c>
      <c r="F135" s="6">
        <v>7000</v>
      </c>
      <c r="G135" s="4" t="s">
        <v>14</v>
      </c>
    </row>
    <row r="136" spans="1:7" ht="22.05" customHeight="1">
      <c r="A136" s="4">
        <v>132</v>
      </c>
      <c r="B136" s="4" t="s">
        <v>356</v>
      </c>
      <c r="C136" s="7" t="s">
        <v>357</v>
      </c>
      <c r="D136" s="7" t="s">
        <v>19</v>
      </c>
      <c r="E136" s="7" t="s">
        <v>355</v>
      </c>
      <c r="F136" s="6">
        <v>20000</v>
      </c>
      <c r="G136" s="4" t="s">
        <v>14</v>
      </c>
    </row>
    <row r="137" spans="1:7" ht="22.05" customHeight="1">
      <c r="A137" s="4">
        <v>133</v>
      </c>
      <c r="B137" s="4" t="s">
        <v>358</v>
      </c>
      <c r="C137" s="7" t="s">
        <v>359</v>
      </c>
      <c r="D137" s="7" t="s">
        <v>12</v>
      </c>
      <c r="E137" s="7" t="s">
        <v>355</v>
      </c>
      <c r="F137" s="6">
        <v>6000</v>
      </c>
      <c r="G137" s="4" t="s">
        <v>14</v>
      </c>
    </row>
    <row r="138" spans="1:7" ht="22.05" customHeight="1">
      <c r="A138" s="4">
        <v>134</v>
      </c>
      <c r="B138" s="4" t="s">
        <v>360</v>
      </c>
      <c r="C138" s="7" t="s">
        <v>361</v>
      </c>
      <c r="D138" s="7" t="s">
        <v>12</v>
      </c>
      <c r="E138" s="7" t="s">
        <v>355</v>
      </c>
      <c r="F138" s="6">
        <v>10000</v>
      </c>
      <c r="G138" s="4" t="s">
        <v>14</v>
      </c>
    </row>
    <row r="139" spans="1:7" ht="22.05" customHeight="1">
      <c r="A139" s="4">
        <v>135</v>
      </c>
      <c r="B139" s="4" t="s">
        <v>362</v>
      </c>
      <c r="C139" s="7" t="s">
        <v>363</v>
      </c>
      <c r="D139" s="7" t="s">
        <v>243</v>
      </c>
      <c r="E139" s="7" t="s">
        <v>355</v>
      </c>
      <c r="F139" s="6">
        <v>18000</v>
      </c>
      <c r="G139" s="4" t="s">
        <v>14</v>
      </c>
    </row>
    <row r="140" spans="1:7" ht="22.05" customHeight="1">
      <c r="A140" s="4">
        <v>136</v>
      </c>
      <c r="B140" s="4" t="s">
        <v>364</v>
      </c>
      <c r="C140" s="7" t="s">
        <v>365</v>
      </c>
      <c r="D140" s="7" t="s">
        <v>349</v>
      </c>
      <c r="E140" s="7" t="s">
        <v>355</v>
      </c>
      <c r="F140" s="6">
        <v>22000</v>
      </c>
      <c r="G140" s="4" t="s">
        <v>14</v>
      </c>
    </row>
    <row r="141" spans="1:7" ht="22.05" customHeight="1">
      <c r="A141" s="4">
        <v>137</v>
      </c>
      <c r="B141" s="4" t="s">
        <v>366</v>
      </c>
      <c r="C141" s="7" t="s">
        <v>367</v>
      </c>
      <c r="D141" s="7" t="s">
        <v>339</v>
      </c>
      <c r="E141" s="7" t="s">
        <v>355</v>
      </c>
      <c r="F141" s="6">
        <v>12000</v>
      </c>
      <c r="G141" s="4" t="s">
        <v>14</v>
      </c>
    </row>
    <row r="142" spans="1:7" ht="22.05" customHeight="1">
      <c r="A142" s="4">
        <v>138</v>
      </c>
      <c r="B142" s="4" t="s">
        <v>368</v>
      </c>
      <c r="C142" s="7" t="s">
        <v>369</v>
      </c>
      <c r="D142" s="7" t="s">
        <v>24</v>
      </c>
      <c r="E142" s="7" t="s">
        <v>355</v>
      </c>
      <c r="F142" s="6">
        <v>9000</v>
      </c>
      <c r="G142" s="4" t="s">
        <v>14</v>
      </c>
    </row>
    <row r="143" spans="1:7" ht="22.05" customHeight="1">
      <c r="A143" s="4">
        <v>139</v>
      </c>
      <c r="B143" s="4" t="s">
        <v>370</v>
      </c>
      <c r="C143" s="7" t="s">
        <v>371</v>
      </c>
      <c r="D143" s="7" t="s">
        <v>342</v>
      </c>
      <c r="E143" s="7" t="s">
        <v>355</v>
      </c>
      <c r="F143" s="6">
        <v>8000</v>
      </c>
      <c r="G143" s="4" t="s">
        <v>14</v>
      </c>
    </row>
    <row r="144" spans="1:7" ht="22.05" customHeight="1">
      <c r="A144" s="4">
        <v>140</v>
      </c>
      <c r="B144" s="4" t="s">
        <v>372</v>
      </c>
      <c r="C144" s="7" t="s">
        <v>373</v>
      </c>
      <c r="D144" s="7" t="s">
        <v>352</v>
      </c>
      <c r="E144" s="7" t="s">
        <v>355</v>
      </c>
      <c r="F144" s="6">
        <v>28000</v>
      </c>
      <c r="G144" s="4" t="s">
        <v>14</v>
      </c>
    </row>
    <row r="145" spans="1:7" ht="22.05" customHeight="1">
      <c r="A145" s="4">
        <v>141</v>
      </c>
      <c r="B145" s="4" t="s">
        <v>374</v>
      </c>
      <c r="C145" s="7" t="s">
        <v>375</v>
      </c>
      <c r="D145" s="7" t="s">
        <v>252</v>
      </c>
      <c r="E145" s="7" t="s">
        <v>376</v>
      </c>
      <c r="F145" s="6">
        <v>12000</v>
      </c>
      <c r="G145" s="4" t="s">
        <v>14</v>
      </c>
    </row>
    <row r="146" spans="1:7" ht="22.05" customHeight="1">
      <c r="A146" s="4">
        <v>142</v>
      </c>
      <c r="B146" s="4" t="s">
        <v>377</v>
      </c>
      <c r="C146" s="7" t="s">
        <v>378</v>
      </c>
      <c r="D146" s="7" t="s">
        <v>252</v>
      </c>
      <c r="E146" s="7" t="s">
        <v>376</v>
      </c>
      <c r="F146" s="6">
        <v>42000</v>
      </c>
      <c r="G146" s="4" t="s">
        <v>14</v>
      </c>
    </row>
    <row r="147" spans="1:7" ht="22.05" customHeight="1">
      <c r="A147" s="4">
        <v>143</v>
      </c>
      <c r="B147" s="4" t="s">
        <v>379</v>
      </c>
      <c r="C147" s="7" t="s">
        <v>380</v>
      </c>
      <c r="D147" s="7" t="s">
        <v>69</v>
      </c>
      <c r="E147" s="7" t="s">
        <v>376</v>
      </c>
      <c r="F147" s="6">
        <v>55000</v>
      </c>
      <c r="G147" s="4" t="s">
        <v>14</v>
      </c>
    </row>
    <row r="148" spans="1:7" ht="22.05" customHeight="1">
      <c r="A148" s="4">
        <v>144</v>
      </c>
      <c r="B148" s="4" t="s">
        <v>381</v>
      </c>
      <c r="C148" s="7" t="s">
        <v>382</v>
      </c>
      <c r="D148" s="7" t="s">
        <v>383</v>
      </c>
      <c r="E148" s="7" t="s">
        <v>376</v>
      </c>
      <c r="F148" s="6">
        <v>48000</v>
      </c>
      <c r="G148" s="4" t="s">
        <v>14</v>
      </c>
    </row>
    <row r="149" spans="1:7" ht="22.05" customHeight="1">
      <c r="A149" s="4">
        <v>145</v>
      </c>
      <c r="B149" s="4" t="s">
        <v>384</v>
      </c>
      <c r="C149" s="7" t="s">
        <v>385</v>
      </c>
      <c r="D149" s="7" t="s">
        <v>386</v>
      </c>
      <c r="E149" s="7" t="s">
        <v>376</v>
      </c>
      <c r="F149" s="6">
        <v>65000</v>
      </c>
      <c r="G149" s="4" t="s">
        <v>14</v>
      </c>
    </row>
    <row r="150" spans="1:7" ht="22.05" customHeight="1">
      <c r="A150" s="4">
        <v>146</v>
      </c>
      <c r="B150" s="4" t="s">
        <v>387</v>
      </c>
      <c r="C150" s="7" t="s">
        <v>388</v>
      </c>
      <c r="D150" s="7" t="s">
        <v>249</v>
      </c>
      <c r="E150" s="7" t="s">
        <v>376</v>
      </c>
      <c r="F150" s="6">
        <v>25000</v>
      </c>
      <c r="G150" s="4" t="s">
        <v>14</v>
      </c>
    </row>
    <row r="151" spans="1:7" ht="22.05" customHeight="1">
      <c r="A151" s="4">
        <v>147</v>
      </c>
      <c r="B151" s="4" t="s">
        <v>389</v>
      </c>
      <c r="C151" s="7" t="s">
        <v>390</v>
      </c>
      <c r="D151" s="7" t="s">
        <v>391</v>
      </c>
      <c r="E151" s="7" t="s">
        <v>376</v>
      </c>
      <c r="F151" s="6">
        <v>9000</v>
      </c>
      <c r="G151" s="4" t="s">
        <v>14</v>
      </c>
    </row>
    <row r="152" spans="1:7" ht="22.05" customHeight="1">
      <c r="A152" s="4">
        <v>148</v>
      </c>
      <c r="B152" s="4" t="s">
        <v>392</v>
      </c>
      <c r="C152" s="7" t="s">
        <v>393</v>
      </c>
      <c r="D152" s="7" t="s">
        <v>394</v>
      </c>
      <c r="E152" s="7" t="s">
        <v>376</v>
      </c>
      <c r="F152" s="6">
        <v>3000</v>
      </c>
      <c r="G152" s="4" t="s">
        <v>14</v>
      </c>
    </row>
    <row r="153" spans="1:7" ht="22.05" customHeight="1">
      <c r="A153" s="4">
        <v>149</v>
      </c>
      <c r="B153" s="4" t="s">
        <v>395</v>
      </c>
      <c r="C153" s="7" t="s">
        <v>396</v>
      </c>
      <c r="D153" s="7" t="s">
        <v>19</v>
      </c>
      <c r="E153" s="7" t="s">
        <v>376</v>
      </c>
      <c r="F153" s="6">
        <v>40000</v>
      </c>
      <c r="G153" s="4" t="s">
        <v>14</v>
      </c>
    </row>
    <row r="154" spans="1:7" ht="22.05" customHeight="1">
      <c r="A154" s="4">
        <v>150</v>
      </c>
      <c r="B154" s="4" t="s">
        <v>397</v>
      </c>
      <c r="C154" s="7" t="s">
        <v>398</v>
      </c>
      <c r="D154" s="7" t="s">
        <v>399</v>
      </c>
      <c r="E154" s="7" t="s">
        <v>376</v>
      </c>
      <c r="F154" s="6">
        <v>35000</v>
      </c>
      <c r="G154" s="4" t="s">
        <v>14</v>
      </c>
    </row>
    <row r="155" spans="1:7" ht="22.05" customHeight="1">
      <c r="A155" s="4">
        <v>151</v>
      </c>
      <c r="B155" s="4" t="s">
        <v>400</v>
      </c>
      <c r="C155" s="7" t="s">
        <v>401</v>
      </c>
      <c r="D155" s="7" t="s">
        <v>252</v>
      </c>
      <c r="E155" s="7" t="s">
        <v>402</v>
      </c>
      <c r="F155" s="6">
        <v>4000</v>
      </c>
      <c r="G155" s="4" t="s">
        <v>14</v>
      </c>
    </row>
    <row r="156" spans="1:7" ht="22.05" customHeight="1">
      <c r="A156" s="4">
        <v>152</v>
      </c>
      <c r="B156" s="4" t="s">
        <v>403</v>
      </c>
      <c r="C156" s="7" t="s">
        <v>404</v>
      </c>
      <c r="D156" s="7" t="s">
        <v>252</v>
      </c>
      <c r="E156" s="7" t="s">
        <v>402</v>
      </c>
      <c r="F156" s="6">
        <v>30000</v>
      </c>
      <c r="G156" s="4" t="s">
        <v>14</v>
      </c>
    </row>
    <row r="157" spans="1:7" ht="22.05" customHeight="1">
      <c r="A157" s="4">
        <v>153</v>
      </c>
      <c r="B157" s="4" t="s">
        <v>405</v>
      </c>
      <c r="C157" s="7" t="s">
        <v>406</v>
      </c>
      <c r="D157" s="7" t="s">
        <v>69</v>
      </c>
      <c r="E157" s="7" t="s">
        <v>402</v>
      </c>
      <c r="F157" s="6">
        <v>38000</v>
      </c>
      <c r="G157" s="4" t="s">
        <v>14</v>
      </c>
    </row>
    <row r="158" spans="1:7" ht="22.05" customHeight="1">
      <c r="A158" s="4">
        <v>154</v>
      </c>
      <c r="B158" s="4" t="s">
        <v>407</v>
      </c>
      <c r="C158" s="7" t="s">
        <v>408</v>
      </c>
      <c r="D158" s="7" t="s">
        <v>386</v>
      </c>
      <c r="E158" s="7" t="s">
        <v>402</v>
      </c>
      <c r="F158" s="6">
        <v>28000</v>
      </c>
      <c r="G158" s="4" t="s">
        <v>14</v>
      </c>
    </row>
    <row r="159" spans="1:7" ht="22.05" customHeight="1">
      <c r="A159" s="4">
        <v>155</v>
      </c>
      <c r="B159" s="4" t="s">
        <v>409</v>
      </c>
      <c r="C159" s="7" t="s">
        <v>410</v>
      </c>
      <c r="D159" s="7" t="s">
        <v>383</v>
      </c>
      <c r="E159" s="7" t="s">
        <v>402</v>
      </c>
      <c r="F159" s="6">
        <v>24000</v>
      </c>
      <c r="G159" s="4" t="s">
        <v>14</v>
      </c>
    </row>
    <row r="160" spans="1:7" ht="22.05" customHeight="1">
      <c r="A160" s="4">
        <v>156</v>
      </c>
      <c r="B160" s="4" t="s">
        <v>411</v>
      </c>
      <c r="C160" s="7" t="s">
        <v>412</v>
      </c>
      <c r="D160" s="7" t="s">
        <v>249</v>
      </c>
      <c r="E160" s="7" t="s">
        <v>402</v>
      </c>
      <c r="F160" s="6">
        <v>16000</v>
      </c>
      <c r="G160" s="4" t="s">
        <v>14</v>
      </c>
    </row>
    <row r="161" spans="1:7" ht="22.05" customHeight="1">
      <c r="A161" s="4">
        <v>157</v>
      </c>
      <c r="B161" s="4" t="s">
        <v>413</v>
      </c>
      <c r="C161" s="7" t="s">
        <v>414</v>
      </c>
      <c r="D161" s="7" t="s">
        <v>394</v>
      </c>
      <c r="E161" s="7" t="s">
        <v>402</v>
      </c>
      <c r="F161" s="6">
        <v>8000</v>
      </c>
      <c r="G161" s="4" t="s">
        <v>14</v>
      </c>
    </row>
    <row r="162" spans="1:7" ht="22.05" customHeight="1">
      <c r="A162" s="4">
        <v>158</v>
      </c>
      <c r="B162" s="4" t="s">
        <v>415</v>
      </c>
      <c r="C162" s="7" t="s">
        <v>416</v>
      </c>
      <c r="D162" s="7" t="s">
        <v>19</v>
      </c>
      <c r="E162" s="7" t="s">
        <v>402</v>
      </c>
      <c r="F162" s="6">
        <v>28000</v>
      </c>
      <c r="G162" s="4" t="s">
        <v>14</v>
      </c>
    </row>
    <row r="163" spans="1:7" ht="22.05" customHeight="1">
      <c r="A163" s="4">
        <v>159</v>
      </c>
      <c r="B163" s="4" t="s">
        <v>417</v>
      </c>
      <c r="C163" s="7" t="s">
        <v>418</v>
      </c>
      <c r="D163" s="7" t="s">
        <v>63</v>
      </c>
      <c r="E163" s="7" t="s">
        <v>402</v>
      </c>
      <c r="F163" s="6">
        <v>7000</v>
      </c>
      <c r="G163" s="4" t="s">
        <v>14</v>
      </c>
    </row>
    <row r="164" spans="1:7" ht="22.05" customHeight="1">
      <c r="A164" s="4">
        <v>160</v>
      </c>
      <c r="B164" s="4" t="s">
        <v>419</v>
      </c>
      <c r="C164" s="7" t="s">
        <v>420</v>
      </c>
      <c r="D164" s="7" t="s">
        <v>421</v>
      </c>
      <c r="E164" s="7" t="s">
        <v>402</v>
      </c>
      <c r="F164" s="6">
        <v>12000</v>
      </c>
      <c r="G164" s="4" t="s">
        <v>14</v>
      </c>
    </row>
    <row r="165" spans="1:7" ht="22.05" customHeight="1">
      <c r="A165" s="4">
        <v>161</v>
      </c>
      <c r="B165" s="4" t="s">
        <v>422</v>
      </c>
      <c r="C165" s="7" t="s">
        <v>423</v>
      </c>
      <c r="D165" s="7" t="s">
        <v>42</v>
      </c>
      <c r="E165" s="7" t="s">
        <v>424</v>
      </c>
      <c r="F165" s="6">
        <v>45000</v>
      </c>
      <c r="G165" s="4" t="s">
        <v>14</v>
      </c>
    </row>
    <row r="166" spans="1:7" ht="22.05" customHeight="1">
      <c r="A166" s="4">
        <v>162</v>
      </c>
      <c r="B166" s="4" t="s">
        <v>425</v>
      </c>
      <c r="C166" s="7" t="s">
        <v>426</v>
      </c>
      <c r="D166" s="7" t="s">
        <v>42</v>
      </c>
      <c r="E166" s="7" t="s">
        <v>424</v>
      </c>
      <c r="F166" s="6">
        <v>195000</v>
      </c>
      <c r="G166" s="4" t="s">
        <v>14</v>
      </c>
    </row>
    <row r="167" spans="1:7" ht="22.05" customHeight="1">
      <c r="A167" s="4">
        <v>163</v>
      </c>
      <c r="B167" s="4" t="s">
        <v>427</v>
      </c>
      <c r="C167" s="7" t="s">
        <v>428</v>
      </c>
      <c r="D167" s="7" t="s">
        <v>147</v>
      </c>
      <c r="E167" s="7" t="s">
        <v>424</v>
      </c>
      <c r="F167" s="6">
        <v>52000</v>
      </c>
      <c r="G167" s="4" t="s">
        <v>14</v>
      </c>
    </row>
    <row r="168" spans="1:7" ht="22.05" customHeight="1">
      <c r="A168" s="4">
        <v>164</v>
      </c>
      <c r="B168" s="4" t="s">
        <v>429</v>
      </c>
      <c r="C168" s="7" t="s">
        <v>430</v>
      </c>
      <c r="D168" s="7" t="s">
        <v>147</v>
      </c>
      <c r="E168" s="7" t="s">
        <v>424</v>
      </c>
      <c r="F168" s="6">
        <v>60000</v>
      </c>
      <c r="G168" s="4" t="s">
        <v>14</v>
      </c>
    </row>
    <row r="169" spans="1:7" ht="22.05" customHeight="1">
      <c r="A169" s="4">
        <v>165</v>
      </c>
      <c r="B169" s="4" t="s">
        <v>431</v>
      </c>
      <c r="C169" s="7" t="s">
        <v>432</v>
      </c>
      <c r="D169" s="7" t="s">
        <v>433</v>
      </c>
      <c r="E169" s="7" t="s">
        <v>424</v>
      </c>
      <c r="F169" s="6">
        <v>55000</v>
      </c>
      <c r="G169" s="4" t="s">
        <v>14</v>
      </c>
    </row>
    <row r="170" spans="1:7" ht="22.05" customHeight="1">
      <c r="A170" s="4">
        <v>166</v>
      </c>
      <c r="B170" s="4" t="s">
        <v>434</v>
      </c>
      <c r="C170" s="7" t="s">
        <v>435</v>
      </c>
      <c r="D170" s="7" t="s">
        <v>433</v>
      </c>
      <c r="E170" s="7" t="s">
        <v>424</v>
      </c>
      <c r="F170" s="6">
        <v>145000</v>
      </c>
      <c r="G170" s="4" t="s">
        <v>14</v>
      </c>
    </row>
    <row r="171" spans="1:7" ht="22.05" customHeight="1">
      <c r="A171" s="4">
        <v>167</v>
      </c>
      <c r="B171" s="4" t="s">
        <v>436</v>
      </c>
      <c r="C171" s="7" t="s">
        <v>437</v>
      </c>
      <c r="D171" s="7" t="s">
        <v>438</v>
      </c>
      <c r="E171" s="7" t="s">
        <v>424</v>
      </c>
      <c r="F171" s="6">
        <v>48000</v>
      </c>
      <c r="G171" s="4" t="s">
        <v>14</v>
      </c>
    </row>
    <row r="172" spans="1:7" ht="22.05" customHeight="1">
      <c r="A172" s="4">
        <v>168</v>
      </c>
      <c r="B172" s="4" t="s">
        <v>439</v>
      </c>
      <c r="C172" s="7" t="s">
        <v>440</v>
      </c>
      <c r="D172" s="7" t="s">
        <v>438</v>
      </c>
      <c r="E172" s="7" t="s">
        <v>424</v>
      </c>
      <c r="F172" s="6">
        <v>78000</v>
      </c>
      <c r="G172" s="4" t="s">
        <v>14</v>
      </c>
    </row>
    <row r="173" spans="1:7" ht="22.05" customHeight="1">
      <c r="A173" s="4">
        <v>169</v>
      </c>
      <c r="B173" s="4" t="s">
        <v>441</v>
      </c>
      <c r="C173" s="7" t="s">
        <v>442</v>
      </c>
      <c r="D173" s="7" t="s">
        <v>443</v>
      </c>
      <c r="E173" s="7" t="s">
        <v>424</v>
      </c>
      <c r="F173" s="6">
        <v>37000</v>
      </c>
      <c r="G173" s="4" t="s">
        <v>14</v>
      </c>
    </row>
    <row r="174" spans="1:7" ht="22.05" customHeight="1">
      <c r="A174" s="4">
        <v>170</v>
      </c>
      <c r="B174" s="4" t="s">
        <v>444</v>
      </c>
      <c r="C174" s="7" t="s">
        <v>445</v>
      </c>
      <c r="D174" s="7" t="s">
        <v>446</v>
      </c>
      <c r="E174" s="7" t="s">
        <v>424</v>
      </c>
      <c r="F174" s="6">
        <v>85000</v>
      </c>
      <c r="G174" s="4" t="s">
        <v>14</v>
      </c>
    </row>
    <row r="175" spans="1:7" ht="22.05" customHeight="1">
      <c r="A175" s="4">
        <v>171</v>
      </c>
      <c r="B175" s="4" t="s">
        <v>447</v>
      </c>
      <c r="C175" s="7" t="s">
        <v>448</v>
      </c>
      <c r="D175" s="7" t="s">
        <v>449</v>
      </c>
      <c r="E175" s="7" t="s">
        <v>450</v>
      </c>
      <c r="F175" s="6">
        <v>45000</v>
      </c>
      <c r="G175" s="4" t="s">
        <v>14</v>
      </c>
    </row>
    <row r="176" spans="1:7" ht="22.05" customHeight="1">
      <c r="A176" s="4">
        <v>172</v>
      </c>
      <c r="B176" s="4" t="s">
        <v>451</v>
      </c>
      <c r="C176" s="7" t="s">
        <v>452</v>
      </c>
      <c r="D176" s="7" t="s">
        <v>449</v>
      </c>
      <c r="E176" s="7" t="s">
        <v>450</v>
      </c>
      <c r="F176" s="6">
        <v>260000</v>
      </c>
      <c r="G176" s="4" t="s">
        <v>14</v>
      </c>
    </row>
    <row r="177" spans="1:7" ht="22.05" customHeight="1">
      <c r="A177" s="4">
        <v>173</v>
      </c>
      <c r="B177" s="4" t="s">
        <v>453</v>
      </c>
      <c r="C177" s="7" t="s">
        <v>454</v>
      </c>
      <c r="D177" s="7" t="s">
        <v>455</v>
      </c>
      <c r="E177" s="7" t="s">
        <v>450</v>
      </c>
      <c r="F177" s="6">
        <v>50000</v>
      </c>
      <c r="G177" s="4" t="s">
        <v>14</v>
      </c>
    </row>
    <row r="178" spans="1:7" ht="22.05" customHeight="1">
      <c r="A178" s="4">
        <v>174</v>
      </c>
      <c r="B178" s="4" t="s">
        <v>456</v>
      </c>
      <c r="C178" s="7" t="s">
        <v>457</v>
      </c>
      <c r="D178" s="7" t="s">
        <v>458</v>
      </c>
      <c r="E178" s="7" t="s">
        <v>450</v>
      </c>
      <c r="F178" s="6">
        <v>42000</v>
      </c>
      <c r="G178" s="4" t="s">
        <v>14</v>
      </c>
    </row>
    <row r="179" spans="1:7" ht="22.05" customHeight="1">
      <c r="A179" s="4">
        <v>175</v>
      </c>
      <c r="B179" s="4" t="s">
        <v>459</v>
      </c>
      <c r="C179" s="7" t="s">
        <v>460</v>
      </c>
      <c r="D179" s="7" t="s">
        <v>461</v>
      </c>
      <c r="E179" s="7" t="s">
        <v>450</v>
      </c>
      <c r="F179" s="6">
        <v>95000</v>
      </c>
      <c r="G179" s="4" t="s">
        <v>14</v>
      </c>
    </row>
    <row r="180" spans="1:7" ht="22.05" customHeight="1">
      <c r="A180" s="4">
        <v>176</v>
      </c>
      <c r="B180" s="4" t="s">
        <v>462</v>
      </c>
      <c r="C180" s="7" t="s">
        <v>463</v>
      </c>
      <c r="D180" s="7" t="s">
        <v>464</v>
      </c>
      <c r="E180" s="7" t="s">
        <v>450</v>
      </c>
      <c r="F180" s="6">
        <v>240000</v>
      </c>
      <c r="G180" s="4" t="s">
        <v>14</v>
      </c>
    </row>
    <row r="181" spans="1:7" ht="22.05" customHeight="1">
      <c r="A181" s="4">
        <v>177</v>
      </c>
      <c r="B181" s="4" t="s">
        <v>465</v>
      </c>
      <c r="C181" s="7" t="s">
        <v>466</v>
      </c>
      <c r="D181" s="7" t="s">
        <v>467</v>
      </c>
      <c r="E181" s="7" t="s">
        <v>450</v>
      </c>
      <c r="F181" s="6">
        <v>230000</v>
      </c>
      <c r="G181" s="4" t="s">
        <v>14</v>
      </c>
    </row>
    <row r="182" spans="1:7" ht="22.05" customHeight="1">
      <c r="A182" s="4">
        <v>178</v>
      </c>
      <c r="B182" s="4" t="s">
        <v>468</v>
      </c>
      <c r="C182" s="7" t="s">
        <v>469</v>
      </c>
      <c r="D182" s="7" t="s">
        <v>470</v>
      </c>
      <c r="E182" s="7" t="s">
        <v>450</v>
      </c>
      <c r="F182" s="6">
        <v>38000</v>
      </c>
      <c r="G182" s="4" t="s">
        <v>14</v>
      </c>
    </row>
    <row r="183" spans="1:7" ht="22.05" customHeight="1">
      <c r="A183" s="4">
        <v>179</v>
      </c>
      <c r="B183" s="4" t="s">
        <v>471</v>
      </c>
      <c r="C183" s="7" t="s">
        <v>472</v>
      </c>
      <c r="D183" s="7" t="s">
        <v>473</v>
      </c>
      <c r="E183" s="7" t="s">
        <v>450</v>
      </c>
      <c r="F183" s="6">
        <v>210000</v>
      </c>
      <c r="G183" s="4" t="s">
        <v>14</v>
      </c>
    </row>
    <row r="184" spans="1:7" ht="22.05" customHeight="1">
      <c r="A184" s="4">
        <v>180</v>
      </c>
      <c r="B184" s="4" t="s">
        <v>474</v>
      </c>
      <c r="C184" s="7" t="s">
        <v>475</v>
      </c>
      <c r="D184" s="7" t="s">
        <v>476</v>
      </c>
      <c r="E184" s="7" t="s">
        <v>450</v>
      </c>
      <c r="F184" s="6">
        <v>220000</v>
      </c>
      <c r="G184" s="4" t="s">
        <v>14</v>
      </c>
    </row>
    <row r="185" spans="1:7" ht="22.05" customHeight="1">
      <c r="A185" s="4">
        <v>181</v>
      </c>
      <c r="B185" s="4" t="s">
        <v>477</v>
      </c>
      <c r="C185" s="7" t="s">
        <v>478</v>
      </c>
      <c r="D185" s="7" t="s">
        <v>110</v>
      </c>
      <c r="E185" s="7" t="s">
        <v>479</v>
      </c>
      <c r="F185" s="6">
        <v>185000</v>
      </c>
      <c r="G185" s="4" t="s">
        <v>14</v>
      </c>
    </row>
    <row r="186" spans="1:7" ht="22.05" customHeight="1">
      <c r="A186" s="4">
        <v>182</v>
      </c>
      <c r="B186" s="4" t="s">
        <v>480</v>
      </c>
      <c r="C186" s="7" t="s">
        <v>481</v>
      </c>
      <c r="D186" s="7" t="s">
        <v>482</v>
      </c>
      <c r="E186" s="7" t="s">
        <v>479</v>
      </c>
      <c r="F186" s="6">
        <v>205000</v>
      </c>
      <c r="G186" s="4" t="s">
        <v>14</v>
      </c>
    </row>
    <row r="187" spans="1:7" ht="22.05" customHeight="1">
      <c r="A187" s="4">
        <v>183</v>
      </c>
      <c r="B187" s="4" t="s">
        <v>483</v>
      </c>
      <c r="C187" s="7" t="s">
        <v>484</v>
      </c>
      <c r="D187" s="7" t="s">
        <v>485</v>
      </c>
      <c r="E187" s="7" t="s">
        <v>479</v>
      </c>
      <c r="F187" s="6">
        <v>145000</v>
      </c>
      <c r="G187" s="4" t="s">
        <v>14</v>
      </c>
    </row>
    <row r="188" spans="1:7" ht="22.05" customHeight="1">
      <c r="A188" s="4">
        <v>184</v>
      </c>
      <c r="B188" s="4" t="s">
        <v>486</v>
      </c>
      <c r="C188" s="7" t="s">
        <v>487</v>
      </c>
      <c r="D188" s="7" t="s">
        <v>12</v>
      </c>
      <c r="E188" s="7" t="s">
        <v>479</v>
      </c>
      <c r="F188" s="6">
        <v>330000</v>
      </c>
      <c r="G188" s="4" t="s">
        <v>14</v>
      </c>
    </row>
    <row r="189" spans="1:7" ht="22.05" customHeight="1">
      <c r="A189" s="4">
        <v>185</v>
      </c>
      <c r="B189" s="4" t="s">
        <v>488</v>
      </c>
      <c r="C189" s="7" t="s">
        <v>489</v>
      </c>
      <c r="D189" s="7" t="s">
        <v>98</v>
      </c>
      <c r="E189" s="7" t="s">
        <v>479</v>
      </c>
      <c r="F189" s="6">
        <v>300000</v>
      </c>
      <c r="G189" s="4" t="s">
        <v>14</v>
      </c>
    </row>
    <row r="190" spans="1:7" ht="22.05" customHeight="1">
      <c r="A190" s="4">
        <v>186</v>
      </c>
      <c r="B190" s="4" t="s">
        <v>490</v>
      </c>
      <c r="C190" s="7" t="s">
        <v>491</v>
      </c>
      <c r="D190" s="7" t="s">
        <v>116</v>
      </c>
      <c r="E190" s="7" t="s">
        <v>479</v>
      </c>
      <c r="F190" s="6">
        <v>210000</v>
      </c>
      <c r="G190" s="4" t="s">
        <v>14</v>
      </c>
    </row>
    <row r="191" spans="1:7" ht="22.05" customHeight="1">
      <c r="A191" s="4">
        <v>187</v>
      </c>
      <c r="B191" s="4" t="s">
        <v>492</v>
      </c>
      <c r="C191" s="7" t="s">
        <v>493</v>
      </c>
      <c r="D191" s="7" t="s">
        <v>494</v>
      </c>
      <c r="E191" s="7" t="s">
        <v>479</v>
      </c>
      <c r="F191" s="6">
        <v>190000</v>
      </c>
      <c r="G191" s="4" t="s">
        <v>14</v>
      </c>
    </row>
    <row r="192" spans="1:7" ht="22.05" customHeight="1">
      <c r="A192" s="4">
        <v>188</v>
      </c>
      <c r="B192" s="4" t="s">
        <v>495</v>
      </c>
      <c r="C192" s="7" t="s">
        <v>496</v>
      </c>
      <c r="D192" s="7" t="s">
        <v>497</v>
      </c>
      <c r="E192" s="7" t="s">
        <v>479</v>
      </c>
      <c r="F192" s="6">
        <v>220000</v>
      </c>
      <c r="G192" s="4" t="s">
        <v>14</v>
      </c>
    </row>
    <row r="193" spans="1:7" ht="22.05" customHeight="1">
      <c r="A193" s="4">
        <v>189</v>
      </c>
      <c r="B193" s="4" t="s">
        <v>498</v>
      </c>
      <c r="C193" s="7" t="s">
        <v>499</v>
      </c>
      <c r="D193" s="7" t="s">
        <v>500</v>
      </c>
      <c r="E193" s="7" t="s">
        <v>479</v>
      </c>
      <c r="F193" s="6">
        <v>390000</v>
      </c>
      <c r="G193" s="4" t="s">
        <v>14</v>
      </c>
    </row>
    <row r="194" spans="1:7" ht="22.05" customHeight="1">
      <c r="A194" s="4">
        <v>190</v>
      </c>
      <c r="B194" s="4" t="s">
        <v>501</v>
      </c>
      <c r="C194" s="7" t="s">
        <v>502</v>
      </c>
      <c r="D194" s="7" t="s">
        <v>159</v>
      </c>
      <c r="E194" s="7" t="s">
        <v>479</v>
      </c>
      <c r="F194" s="6">
        <v>430000</v>
      </c>
      <c r="G194" s="4" t="s">
        <v>14</v>
      </c>
    </row>
    <row r="195" spans="1:7" ht="22.05" customHeight="1">
      <c r="A195" s="4">
        <v>191</v>
      </c>
      <c r="B195" s="4" t="s">
        <v>503</v>
      </c>
      <c r="C195" s="7" t="s">
        <v>504</v>
      </c>
      <c r="D195" s="7" t="s">
        <v>110</v>
      </c>
      <c r="E195" s="7" t="s">
        <v>505</v>
      </c>
      <c r="F195" s="6">
        <v>185000</v>
      </c>
      <c r="G195" s="4" t="s">
        <v>14</v>
      </c>
    </row>
    <row r="196" spans="1:7" ht="22.05" customHeight="1">
      <c r="A196" s="4">
        <v>192</v>
      </c>
      <c r="B196" s="4" t="s">
        <v>506</v>
      </c>
      <c r="C196" s="7" t="s">
        <v>507</v>
      </c>
      <c r="D196" s="7" t="s">
        <v>482</v>
      </c>
      <c r="E196" s="7" t="s">
        <v>505</v>
      </c>
      <c r="F196" s="6">
        <v>210000</v>
      </c>
      <c r="G196" s="4" t="s">
        <v>14</v>
      </c>
    </row>
    <row r="197" spans="1:7" ht="22.05" customHeight="1">
      <c r="A197" s="4">
        <v>193</v>
      </c>
      <c r="B197" s="4" t="s">
        <v>508</v>
      </c>
      <c r="C197" s="7" t="s">
        <v>509</v>
      </c>
      <c r="D197" s="7" t="s">
        <v>497</v>
      </c>
      <c r="E197" s="7" t="s">
        <v>505</v>
      </c>
      <c r="F197" s="6">
        <v>195000</v>
      </c>
      <c r="G197" s="4" t="s">
        <v>14</v>
      </c>
    </row>
    <row r="198" spans="1:7" ht="22.05" customHeight="1">
      <c r="A198" s="4">
        <v>194</v>
      </c>
      <c r="B198" s="4" t="s">
        <v>510</v>
      </c>
      <c r="C198" s="7" t="s">
        <v>511</v>
      </c>
      <c r="D198" s="7" t="s">
        <v>116</v>
      </c>
      <c r="E198" s="7" t="s">
        <v>505</v>
      </c>
      <c r="F198" s="6">
        <v>175000</v>
      </c>
      <c r="G198" s="4" t="s">
        <v>14</v>
      </c>
    </row>
    <row r="199" spans="1:7" ht="22.05" customHeight="1">
      <c r="A199" s="4">
        <v>195</v>
      </c>
      <c r="B199" s="4" t="s">
        <v>512</v>
      </c>
      <c r="C199" s="7" t="s">
        <v>513</v>
      </c>
      <c r="D199" s="7" t="s">
        <v>494</v>
      </c>
      <c r="E199" s="7" t="s">
        <v>505</v>
      </c>
      <c r="F199" s="6">
        <v>190000</v>
      </c>
      <c r="G199" s="4" t="s">
        <v>14</v>
      </c>
    </row>
    <row r="200" spans="1:7" ht="22.05" customHeight="1">
      <c r="A200" s="4">
        <v>196</v>
      </c>
      <c r="B200" s="4" t="s">
        <v>514</v>
      </c>
      <c r="C200" s="7" t="s">
        <v>515</v>
      </c>
      <c r="D200" s="7" t="s">
        <v>104</v>
      </c>
      <c r="E200" s="7" t="s">
        <v>505</v>
      </c>
      <c r="F200" s="6">
        <v>180000</v>
      </c>
      <c r="G200" s="4" t="s">
        <v>14</v>
      </c>
    </row>
    <row r="201" spans="1:7" ht="22.05" customHeight="1">
      <c r="A201" s="4">
        <v>197</v>
      </c>
      <c r="B201" s="4" t="s">
        <v>516</v>
      </c>
      <c r="C201" s="7" t="s">
        <v>517</v>
      </c>
      <c r="D201" s="7" t="s">
        <v>12</v>
      </c>
      <c r="E201" s="7" t="s">
        <v>505</v>
      </c>
      <c r="F201" s="6">
        <v>310000</v>
      </c>
      <c r="G201" s="4" t="s">
        <v>14</v>
      </c>
    </row>
    <row r="202" spans="1:7" ht="22.05" customHeight="1">
      <c r="A202" s="4">
        <v>198</v>
      </c>
      <c r="B202" s="4" t="s">
        <v>518</v>
      </c>
      <c r="C202" s="7" t="s">
        <v>519</v>
      </c>
      <c r="D202" s="7" t="s">
        <v>98</v>
      </c>
      <c r="E202" s="7" t="s">
        <v>505</v>
      </c>
      <c r="F202" s="6">
        <v>290000</v>
      </c>
      <c r="G202" s="4" t="s">
        <v>14</v>
      </c>
    </row>
    <row r="203" spans="1:7" ht="22.05" customHeight="1">
      <c r="A203" s="4">
        <v>199</v>
      </c>
      <c r="B203" s="4" t="s">
        <v>520</v>
      </c>
      <c r="C203" s="7" t="s">
        <v>521</v>
      </c>
      <c r="D203" s="7" t="s">
        <v>522</v>
      </c>
      <c r="E203" s="7" t="s">
        <v>505</v>
      </c>
      <c r="F203" s="6">
        <v>185000</v>
      </c>
      <c r="G203" s="4" t="s">
        <v>14</v>
      </c>
    </row>
    <row r="204" spans="1:7" ht="22.05" customHeight="1">
      <c r="A204" s="4">
        <v>200</v>
      </c>
      <c r="B204" s="4" t="s">
        <v>523</v>
      </c>
      <c r="C204" s="7" t="s">
        <v>524</v>
      </c>
      <c r="D204" s="7" t="s">
        <v>485</v>
      </c>
      <c r="E204" s="7" t="s">
        <v>505</v>
      </c>
      <c r="F204" s="6">
        <v>170000</v>
      </c>
      <c r="G204" s="4" t="s">
        <v>14</v>
      </c>
    </row>
    <row r="205" spans="1:7" ht="22.05" customHeight="1">
      <c r="A205" s="4">
        <v>201</v>
      </c>
      <c r="B205" s="4" t="s">
        <v>525</v>
      </c>
      <c r="C205" s="7" t="s">
        <v>526</v>
      </c>
      <c r="D205" s="7" t="s">
        <v>110</v>
      </c>
      <c r="E205" s="7" t="s">
        <v>527</v>
      </c>
      <c r="F205" s="6">
        <v>145000</v>
      </c>
      <c r="G205" s="4" t="s">
        <v>14</v>
      </c>
    </row>
    <row r="206" spans="1:7" ht="22.05" customHeight="1">
      <c r="A206" s="4">
        <v>202</v>
      </c>
      <c r="B206" s="4" t="s">
        <v>528</v>
      </c>
      <c r="C206" s="7" t="s">
        <v>529</v>
      </c>
      <c r="D206" s="7" t="s">
        <v>482</v>
      </c>
      <c r="E206" s="7" t="s">
        <v>527</v>
      </c>
      <c r="F206" s="6">
        <v>130000</v>
      </c>
      <c r="G206" s="4" t="s">
        <v>14</v>
      </c>
    </row>
    <row r="207" spans="1:7" ht="22.05" customHeight="1">
      <c r="A207" s="4">
        <v>203</v>
      </c>
      <c r="B207" s="4" t="s">
        <v>530</v>
      </c>
      <c r="C207" s="7" t="s">
        <v>531</v>
      </c>
      <c r="D207" s="7" t="s">
        <v>12</v>
      </c>
      <c r="E207" s="7" t="s">
        <v>527</v>
      </c>
      <c r="F207" s="6">
        <v>180000</v>
      </c>
      <c r="G207" s="4" t="s">
        <v>14</v>
      </c>
    </row>
    <row r="208" spans="1:7" ht="22.05" customHeight="1">
      <c r="A208" s="4">
        <v>204</v>
      </c>
      <c r="B208" s="4" t="s">
        <v>532</v>
      </c>
      <c r="C208" s="7" t="s">
        <v>533</v>
      </c>
      <c r="D208" s="7" t="s">
        <v>98</v>
      </c>
      <c r="E208" s="7" t="s">
        <v>527</v>
      </c>
      <c r="F208" s="6">
        <v>175000</v>
      </c>
      <c r="G208" s="4" t="s">
        <v>14</v>
      </c>
    </row>
    <row r="209" spans="1:7" ht="22.05" customHeight="1">
      <c r="A209" s="4">
        <v>205</v>
      </c>
      <c r="B209" s="4" t="s">
        <v>534</v>
      </c>
      <c r="C209" s="7" t="s">
        <v>535</v>
      </c>
      <c r="D209" s="7" t="s">
        <v>485</v>
      </c>
      <c r="E209" s="7" t="s">
        <v>527</v>
      </c>
      <c r="F209" s="6">
        <v>78000</v>
      </c>
      <c r="G209" s="4" t="s">
        <v>14</v>
      </c>
    </row>
    <row r="210" spans="1:7" ht="22.05" customHeight="1">
      <c r="A210" s="4">
        <v>206</v>
      </c>
      <c r="B210" s="4" t="s">
        <v>536</v>
      </c>
      <c r="C210" s="7" t="s">
        <v>537</v>
      </c>
      <c r="D210" s="7" t="s">
        <v>538</v>
      </c>
      <c r="E210" s="7" t="s">
        <v>527</v>
      </c>
      <c r="F210" s="6">
        <v>55000</v>
      </c>
      <c r="G210" s="4" t="s">
        <v>14</v>
      </c>
    </row>
    <row r="211" spans="1:7" ht="22.05" customHeight="1">
      <c r="A211" s="4">
        <v>207</v>
      </c>
      <c r="B211" s="4" t="s">
        <v>539</v>
      </c>
      <c r="C211" s="7" t="s">
        <v>540</v>
      </c>
      <c r="D211" s="7" t="s">
        <v>494</v>
      </c>
      <c r="E211" s="7" t="s">
        <v>527</v>
      </c>
      <c r="F211" s="6">
        <v>90000</v>
      </c>
      <c r="G211" s="4" t="s">
        <v>14</v>
      </c>
    </row>
    <row r="212" spans="1:7" ht="22.05" customHeight="1">
      <c r="A212" s="4">
        <v>208</v>
      </c>
      <c r="B212" s="4" t="s">
        <v>541</v>
      </c>
      <c r="C212" s="7" t="s">
        <v>542</v>
      </c>
      <c r="D212" s="7" t="s">
        <v>500</v>
      </c>
      <c r="E212" s="7" t="s">
        <v>527</v>
      </c>
      <c r="F212" s="6">
        <v>210000</v>
      </c>
      <c r="G212" s="4" t="s">
        <v>14</v>
      </c>
    </row>
    <row r="213" spans="1:7" ht="22.05" customHeight="1">
      <c r="A213" s="4">
        <v>209</v>
      </c>
      <c r="B213" s="4" t="s">
        <v>543</v>
      </c>
      <c r="C213" s="7" t="s">
        <v>544</v>
      </c>
      <c r="D213" s="7" t="s">
        <v>159</v>
      </c>
      <c r="E213" s="7" t="s">
        <v>527</v>
      </c>
      <c r="F213" s="6">
        <v>195000</v>
      </c>
      <c r="G213" s="4" t="s">
        <v>14</v>
      </c>
    </row>
    <row r="214" spans="1:7" ht="22.05" customHeight="1">
      <c r="A214" s="4">
        <v>210</v>
      </c>
      <c r="B214" s="4" t="s">
        <v>545</v>
      </c>
      <c r="C214" s="7" t="s">
        <v>546</v>
      </c>
      <c r="D214" s="7" t="s">
        <v>547</v>
      </c>
      <c r="E214" s="7" t="s">
        <v>527</v>
      </c>
      <c r="F214" s="6">
        <v>330000</v>
      </c>
      <c r="G214" s="4" t="s">
        <v>14</v>
      </c>
    </row>
    <row r="215" spans="1:7" ht="22.05" customHeight="1">
      <c r="A215" s="4">
        <v>211</v>
      </c>
      <c r="B215" s="4" t="s">
        <v>548</v>
      </c>
      <c r="C215" s="7" t="s">
        <v>549</v>
      </c>
      <c r="D215" s="7" t="s">
        <v>482</v>
      </c>
      <c r="E215" s="7" t="s">
        <v>550</v>
      </c>
      <c r="F215" s="6">
        <v>28000</v>
      </c>
      <c r="G215" s="4" t="s">
        <v>14</v>
      </c>
    </row>
    <row r="216" spans="1:7" ht="22.05" customHeight="1">
      <c r="A216" s="4">
        <v>212</v>
      </c>
      <c r="B216" s="4" t="s">
        <v>551</v>
      </c>
      <c r="C216" s="7" t="s">
        <v>552</v>
      </c>
      <c r="D216" s="7" t="s">
        <v>110</v>
      </c>
      <c r="E216" s="7" t="s">
        <v>550</v>
      </c>
      <c r="F216" s="6">
        <v>29000</v>
      </c>
      <c r="G216" s="4" t="s">
        <v>14</v>
      </c>
    </row>
    <row r="217" spans="1:7" ht="22.05" customHeight="1">
      <c r="A217" s="4">
        <v>213</v>
      </c>
      <c r="B217" s="4" t="s">
        <v>553</v>
      </c>
      <c r="C217" s="7" t="s">
        <v>554</v>
      </c>
      <c r="D217" s="7" t="s">
        <v>485</v>
      </c>
      <c r="E217" s="7" t="s">
        <v>550</v>
      </c>
      <c r="F217" s="6">
        <v>33000</v>
      </c>
      <c r="G217" s="4" t="s">
        <v>14</v>
      </c>
    </row>
    <row r="218" spans="1:7" ht="22.05" customHeight="1">
      <c r="A218" s="4">
        <v>214</v>
      </c>
      <c r="B218" s="4" t="s">
        <v>555</v>
      </c>
      <c r="C218" s="7" t="s">
        <v>556</v>
      </c>
      <c r="D218" s="7" t="s">
        <v>12</v>
      </c>
      <c r="E218" s="7" t="s">
        <v>550</v>
      </c>
      <c r="F218" s="6">
        <v>43000</v>
      </c>
      <c r="G218" s="4" t="s">
        <v>14</v>
      </c>
    </row>
    <row r="219" spans="1:7" ht="22.05" customHeight="1">
      <c r="A219" s="4">
        <v>215</v>
      </c>
      <c r="B219" s="4" t="s">
        <v>557</v>
      </c>
      <c r="C219" s="7" t="s">
        <v>558</v>
      </c>
      <c r="D219" s="7" t="s">
        <v>98</v>
      </c>
      <c r="E219" s="7" t="s">
        <v>550</v>
      </c>
      <c r="F219" s="6">
        <v>70000</v>
      </c>
      <c r="G219" s="4" t="s">
        <v>14</v>
      </c>
    </row>
    <row r="220" spans="1:7" ht="22.05" customHeight="1">
      <c r="A220" s="4">
        <v>216</v>
      </c>
      <c r="B220" s="4" t="s">
        <v>559</v>
      </c>
      <c r="C220" s="7" t="s">
        <v>560</v>
      </c>
      <c r="D220" s="7" t="s">
        <v>494</v>
      </c>
      <c r="E220" s="7" t="s">
        <v>550</v>
      </c>
      <c r="F220" s="6">
        <v>37000</v>
      </c>
      <c r="G220" s="4" t="s">
        <v>14</v>
      </c>
    </row>
    <row r="221" spans="1:7" ht="22.05" customHeight="1">
      <c r="A221" s="4">
        <v>217</v>
      </c>
      <c r="B221" s="4" t="s">
        <v>561</v>
      </c>
      <c r="C221" s="7" t="s">
        <v>562</v>
      </c>
      <c r="D221" s="7" t="s">
        <v>116</v>
      </c>
      <c r="E221" s="7" t="s">
        <v>550</v>
      </c>
      <c r="F221" s="6">
        <v>35000</v>
      </c>
      <c r="G221" s="4" t="s">
        <v>14</v>
      </c>
    </row>
    <row r="222" spans="1:7" ht="22.05" customHeight="1">
      <c r="A222" s="4">
        <v>218</v>
      </c>
      <c r="B222" s="4" t="s">
        <v>563</v>
      </c>
      <c r="C222" s="7" t="s">
        <v>564</v>
      </c>
      <c r="D222" s="7" t="s">
        <v>159</v>
      </c>
      <c r="E222" s="7" t="s">
        <v>550</v>
      </c>
      <c r="F222" s="6">
        <v>55000</v>
      </c>
      <c r="G222" s="4" t="s">
        <v>14</v>
      </c>
    </row>
    <row r="223" spans="1:7" ht="22.05" customHeight="1">
      <c r="A223" s="4">
        <v>219</v>
      </c>
      <c r="B223" s="4" t="s">
        <v>565</v>
      </c>
      <c r="C223" s="7" t="s">
        <v>566</v>
      </c>
      <c r="D223" s="7" t="s">
        <v>567</v>
      </c>
      <c r="E223" s="7" t="s">
        <v>550</v>
      </c>
      <c r="F223" s="6">
        <v>58000</v>
      </c>
      <c r="G223" s="4" t="s">
        <v>14</v>
      </c>
    </row>
    <row r="224" spans="1:7" ht="22.05" customHeight="1">
      <c r="A224" s="4">
        <v>220</v>
      </c>
      <c r="B224" s="4" t="s">
        <v>568</v>
      </c>
      <c r="C224" s="7" t="s">
        <v>569</v>
      </c>
      <c r="D224" s="7" t="s">
        <v>547</v>
      </c>
      <c r="E224" s="7" t="s">
        <v>550</v>
      </c>
      <c r="F224" s="6">
        <v>85000</v>
      </c>
      <c r="G224" s="4" t="s">
        <v>14</v>
      </c>
    </row>
    <row r="225" spans="1:7" ht="22.05" customHeight="1">
      <c r="A225" s="4">
        <v>221</v>
      </c>
      <c r="B225" s="4" t="s">
        <v>570</v>
      </c>
      <c r="C225" s="7" t="s">
        <v>571</v>
      </c>
      <c r="D225" s="7" t="s">
        <v>482</v>
      </c>
      <c r="E225" s="7" t="s">
        <v>572</v>
      </c>
      <c r="F225" s="6">
        <v>25000</v>
      </c>
      <c r="G225" s="4" t="s">
        <v>14</v>
      </c>
    </row>
    <row r="226" spans="1:7" ht="22.05" customHeight="1">
      <c r="A226" s="4">
        <v>222</v>
      </c>
      <c r="B226" s="4" t="s">
        <v>573</v>
      </c>
      <c r="C226" s="7" t="s">
        <v>574</v>
      </c>
      <c r="D226" s="7" t="s">
        <v>121</v>
      </c>
      <c r="E226" s="7" t="s">
        <v>572</v>
      </c>
      <c r="F226" s="6">
        <v>45000</v>
      </c>
      <c r="G226" s="4" t="s">
        <v>14</v>
      </c>
    </row>
    <row r="227" spans="1:7" ht="22.05" customHeight="1">
      <c r="A227" s="4">
        <v>223</v>
      </c>
      <c r="B227" s="4" t="s">
        <v>575</v>
      </c>
      <c r="C227" s="7" t="s">
        <v>576</v>
      </c>
      <c r="D227" s="7" t="s">
        <v>12</v>
      </c>
      <c r="E227" s="7" t="s">
        <v>572</v>
      </c>
      <c r="F227" s="6">
        <v>38000</v>
      </c>
      <c r="G227" s="4" t="s">
        <v>14</v>
      </c>
    </row>
    <row r="228" spans="1:7" ht="22.05" customHeight="1">
      <c r="A228" s="4">
        <v>224</v>
      </c>
      <c r="B228" s="4" t="s">
        <v>577</v>
      </c>
      <c r="C228" s="7" t="s">
        <v>578</v>
      </c>
      <c r="D228" s="7" t="s">
        <v>98</v>
      </c>
      <c r="E228" s="7" t="s">
        <v>572</v>
      </c>
      <c r="F228" s="6">
        <v>32000</v>
      </c>
      <c r="G228" s="4" t="s">
        <v>14</v>
      </c>
    </row>
    <row r="229" spans="1:7" ht="22.05" customHeight="1">
      <c r="A229" s="4">
        <v>225</v>
      </c>
      <c r="B229" s="4" t="s">
        <v>579</v>
      </c>
      <c r="C229" s="7" t="s">
        <v>580</v>
      </c>
      <c r="D229" s="7" t="s">
        <v>547</v>
      </c>
      <c r="E229" s="7" t="s">
        <v>572</v>
      </c>
      <c r="F229" s="6">
        <v>55000</v>
      </c>
      <c r="G229" s="4" t="s">
        <v>14</v>
      </c>
    </row>
    <row r="230" spans="1:7" ht="22.05" customHeight="1">
      <c r="A230" s="4">
        <v>226</v>
      </c>
      <c r="B230" s="4" t="s">
        <v>581</v>
      </c>
      <c r="C230" s="7" t="s">
        <v>582</v>
      </c>
      <c r="D230" s="7" t="s">
        <v>583</v>
      </c>
      <c r="E230" s="7" t="s">
        <v>572</v>
      </c>
      <c r="F230" s="6">
        <v>275000</v>
      </c>
      <c r="G230" s="4" t="s">
        <v>14</v>
      </c>
    </row>
    <row r="231" spans="1:7" ht="22.05" customHeight="1">
      <c r="A231" s="4">
        <v>227</v>
      </c>
      <c r="B231" s="4" t="s">
        <v>584</v>
      </c>
      <c r="C231" s="7" t="s">
        <v>585</v>
      </c>
      <c r="D231" s="7" t="s">
        <v>24</v>
      </c>
      <c r="E231" s="7" t="s">
        <v>572</v>
      </c>
      <c r="F231" s="6">
        <v>110000</v>
      </c>
      <c r="G231" s="4" t="s">
        <v>14</v>
      </c>
    </row>
    <row r="232" spans="1:7" ht="22.05" customHeight="1">
      <c r="A232" s="4">
        <v>228</v>
      </c>
      <c r="B232" s="4" t="s">
        <v>586</v>
      </c>
      <c r="C232" s="7" t="s">
        <v>587</v>
      </c>
      <c r="D232" s="7" t="s">
        <v>588</v>
      </c>
      <c r="E232" s="7" t="s">
        <v>572</v>
      </c>
      <c r="F232" s="6">
        <v>85000</v>
      </c>
      <c r="G232" s="4" t="s">
        <v>14</v>
      </c>
    </row>
    <row r="233" spans="1:7" ht="22.05" customHeight="1">
      <c r="A233" s="4">
        <v>229</v>
      </c>
      <c r="B233" s="4" t="s">
        <v>589</v>
      </c>
      <c r="C233" s="7" t="s">
        <v>590</v>
      </c>
      <c r="D233" s="7" t="s">
        <v>591</v>
      </c>
      <c r="E233" s="7" t="s">
        <v>572</v>
      </c>
      <c r="F233" s="6">
        <v>42000</v>
      </c>
      <c r="G233" s="4" t="s">
        <v>14</v>
      </c>
    </row>
    <row r="234" spans="1:7" ht="22.05" customHeight="1">
      <c r="A234" s="4">
        <v>230</v>
      </c>
      <c r="B234" s="4" t="s">
        <v>592</v>
      </c>
      <c r="C234" s="7" t="s">
        <v>593</v>
      </c>
      <c r="D234" s="7" t="s">
        <v>594</v>
      </c>
      <c r="E234" s="7" t="s">
        <v>572</v>
      </c>
      <c r="F234" s="6">
        <v>30000</v>
      </c>
      <c r="G234" s="4" t="s">
        <v>14</v>
      </c>
    </row>
    <row r="235" spans="1:7" ht="22.05" customHeight="1">
      <c r="A235" s="4">
        <v>231</v>
      </c>
      <c r="B235" s="4" t="s">
        <v>595</v>
      </c>
      <c r="C235" s="7" t="s">
        <v>596</v>
      </c>
      <c r="D235" s="7" t="s">
        <v>121</v>
      </c>
      <c r="E235" s="7" t="s">
        <v>597</v>
      </c>
      <c r="F235" s="6">
        <v>32000</v>
      </c>
      <c r="G235" s="4" t="s">
        <v>14</v>
      </c>
    </row>
    <row r="236" spans="1:7" ht="22.05" customHeight="1">
      <c r="A236" s="4">
        <v>232</v>
      </c>
      <c r="B236" s="4" t="s">
        <v>598</v>
      </c>
      <c r="C236" s="7" t="s">
        <v>599</v>
      </c>
      <c r="D236" s="7" t="s">
        <v>121</v>
      </c>
      <c r="E236" s="7" t="s">
        <v>597</v>
      </c>
      <c r="F236" s="6">
        <v>70000</v>
      </c>
      <c r="G236" s="4" t="s">
        <v>14</v>
      </c>
    </row>
    <row r="237" spans="1:7" ht="22.05" customHeight="1">
      <c r="A237" s="4">
        <v>233</v>
      </c>
      <c r="B237" s="4" t="s">
        <v>600</v>
      </c>
      <c r="C237" s="7" t="s">
        <v>601</v>
      </c>
      <c r="D237" s="7" t="s">
        <v>494</v>
      </c>
      <c r="E237" s="7" t="s">
        <v>597</v>
      </c>
      <c r="F237" s="6">
        <v>28000</v>
      </c>
      <c r="G237" s="4" t="s">
        <v>14</v>
      </c>
    </row>
    <row r="238" spans="1:7" ht="22.05" customHeight="1">
      <c r="A238" s="4">
        <v>234</v>
      </c>
      <c r="B238" s="4" t="s">
        <v>602</v>
      </c>
      <c r="C238" s="7" t="s">
        <v>603</v>
      </c>
      <c r="D238" s="7" t="s">
        <v>482</v>
      </c>
      <c r="E238" s="7" t="s">
        <v>597</v>
      </c>
      <c r="F238" s="6">
        <v>30000</v>
      </c>
      <c r="G238" s="4" t="s">
        <v>14</v>
      </c>
    </row>
    <row r="239" spans="1:7" ht="22.05" customHeight="1">
      <c r="A239" s="4">
        <v>235</v>
      </c>
      <c r="B239" s="4" t="s">
        <v>604</v>
      </c>
      <c r="C239" s="7" t="s">
        <v>605</v>
      </c>
      <c r="D239" s="7" t="s">
        <v>606</v>
      </c>
      <c r="E239" s="7" t="s">
        <v>597</v>
      </c>
      <c r="F239" s="6">
        <v>26000</v>
      </c>
      <c r="G239" s="4" t="s">
        <v>14</v>
      </c>
    </row>
    <row r="240" spans="1:7" ht="22.05" customHeight="1">
      <c r="A240" s="4">
        <v>236</v>
      </c>
      <c r="B240" s="4" t="s">
        <v>607</v>
      </c>
      <c r="C240" s="7" t="s">
        <v>608</v>
      </c>
      <c r="D240" s="7" t="s">
        <v>24</v>
      </c>
      <c r="E240" s="7" t="s">
        <v>597</v>
      </c>
      <c r="F240" s="6">
        <v>35000</v>
      </c>
      <c r="G240" s="4" t="s">
        <v>14</v>
      </c>
    </row>
    <row r="241" spans="1:7" ht="22.05" customHeight="1">
      <c r="A241" s="4">
        <v>237</v>
      </c>
      <c r="B241" s="4" t="s">
        <v>609</v>
      </c>
      <c r="C241" s="7" t="s">
        <v>610</v>
      </c>
      <c r="D241" s="7" t="s">
        <v>611</v>
      </c>
      <c r="E241" s="7" t="s">
        <v>597</v>
      </c>
      <c r="F241" s="6">
        <v>75000</v>
      </c>
      <c r="G241" s="4" t="s">
        <v>14</v>
      </c>
    </row>
    <row r="242" spans="1:7" ht="22.05" customHeight="1">
      <c r="A242" s="4">
        <v>238</v>
      </c>
      <c r="B242" s="4" t="s">
        <v>612</v>
      </c>
      <c r="C242" s="7" t="s">
        <v>613</v>
      </c>
      <c r="D242" s="7" t="s">
        <v>614</v>
      </c>
      <c r="E242" s="7" t="s">
        <v>597</v>
      </c>
      <c r="F242" s="6">
        <v>40000</v>
      </c>
      <c r="G242" s="4" t="s">
        <v>14</v>
      </c>
    </row>
    <row r="243" spans="1:7" ht="22.05" customHeight="1">
      <c r="A243" s="4">
        <v>239</v>
      </c>
      <c r="B243" s="4" t="s">
        <v>615</v>
      </c>
      <c r="C243" s="7" t="s">
        <v>616</v>
      </c>
      <c r="D243" s="7" t="s">
        <v>617</v>
      </c>
      <c r="E243" s="7" t="s">
        <v>597</v>
      </c>
      <c r="F243" s="6">
        <v>23000</v>
      </c>
      <c r="G243" s="4" t="s">
        <v>14</v>
      </c>
    </row>
    <row r="244" spans="1:7" ht="22.05" customHeight="1">
      <c r="A244" s="4">
        <v>240</v>
      </c>
      <c r="B244" s="4" t="s">
        <v>618</v>
      </c>
      <c r="C244" s="7" t="s">
        <v>619</v>
      </c>
      <c r="D244" s="7" t="s">
        <v>620</v>
      </c>
      <c r="E244" s="7" t="s">
        <v>597</v>
      </c>
      <c r="F244" s="6">
        <v>20000</v>
      </c>
      <c r="G244" s="4" t="s">
        <v>14</v>
      </c>
    </row>
    <row r="245" spans="1:7" ht="22.05" customHeight="1">
      <c r="A245" s="4">
        <v>241</v>
      </c>
      <c r="B245" s="4" t="s">
        <v>621</v>
      </c>
      <c r="C245" s="7" t="s">
        <v>622</v>
      </c>
      <c r="D245" s="7" t="s">
        <v>433</v>
      </c>
      <c r="E245" s="7" t="s">
        <v>623</v>
      </c>
      <c r="F245" s="6">
        <v>150000</v>
      </c>
      <c r="G245" s="4" t="s">
        <v>14</v>
      </c>
    </row>
    <row r="246" spans="1:7" ht="22.05" customHeight="1">
      <c r="A246" s="4">
        <v>242</v>
      </c>
      <c r="B246" s="4" t="s">
        <v>624</v>
      </c>
      <c r="C246" s="7" t="s">
        <v>625</v>
      </c>
      <c r="D246" s="7" t="s">
        <v>433</v>
      </c>
      <c r="E246" s="7" t="s">
        <v>623</v>
      </c>
      <c r="F246" s="6">
        <v>240000</v>
      </c>
      <c r="G246" s="4" t="s">
        <v>14</v>
      </c>
    </row>
    <row r="247" spans="1:7" ht="22.05" customHeight="1">
      <c r="A247" s="4">
        <v>243</v>
      </c>
      <c r="B247" s="4" t="s">
        <v>626</v>
      </c>
      <c r="C247" s="7" t="s">
        <v>627</v>
      </c>
      <c r="D247" s="7" t="s">
        <v>144</v>
      </c>
      <c r="E247" s="7" t="s">
        <v>623</v>
      </c>
      <c r="F247" s="6">
        <v>210000</v>
      </c>
      <c r="G247" s="4" t="s">
        <v>14</v>
      </c>
    </row>
    <row r="248" spans="1:7" ht="22.05" customHeight="1">
      <c r="A248" s="4">
        <v>244</v>
      </c>
      <c r="B248" s="4" t="s">
        <v>628</v>
      </c>
      <c r="C248" s="7" t="s">
        <v>629</v>
      </c>
      <c r="D248" s="7" t="s">
        <v>144</v>
      </c>
      <c r="E248" s="7" t="s">
        <v>623</v>
      </c>
      <c r="F248" s="6">
        <v>420000</v>
      </c>
      <c r="G248" s="4" t="s">
        <v>14</v>
      </c>
    </row>
    <row r="249" spans="1:7" ht="22.05" customHeight="1">
      <c r="A249" s="4">
        <v>245</v>
      </c>
      <c r="B249" s="4" t="s">
        <v>630</v>
      </c>
      <c r="C249" s="7" t="s">
        <v>631</v>
      </c>
      <c r="D249" s="7" t="s">
        <v>141</v>
      </c>
      <c r="E249" s="7" t="s">
        <v>623</v>
      </c>
      <c r="F249" s="6">
        <v>150000</v>
      </c>
      <c r="G249" s="4" t="s">
        <v>14</v>
      </c>
    </row>
    <row r="250" spans="1:7" ht="22.05" customHeight="1">
      <c r="A250" s="4">
        <v>246</v>
      </c>
      <c r="B250" s="4" t="s">
        <v>632</v>
      </c>
      <c r="C250" s="7" t="s">
        <v>633</v>
      </c>
      <c r="D250" s="7" t="s">
        <v>634</v>
      </c>
      <c r="E250" s="7" t="s">
        <v>623</v>
      </c>
      <c r="F250" s="6">
        <v>230000</v>
      </c>
      <c r="G250" s="4" t="s">
        <v>14</v>
      </c>
    </row>
    <row r="251" spans="1:7" ht="22.05" customHeight="1">
      <c r="A251" s="4">
        <v>247</v>
      </c>
      <c r="B251" s="4" t="s">
        <v>635</v>
      </c>
      <c r="C251" s="7" t="s">
        <v>636</v>
      </c>
      <c r="D251" s="7" t="s">
        <v>24</v>
      </c>
      <c r="E251" s="7" t="s">
        <v>623</v>
      </c>
      <c r="F251" s="6">
        <v>180000</v>
      </c>
      <c r="G251" s="4" t="s">
        <v>14</v>
      </c>
    </row>
    <row r="252" spans="1:7" ht="22.05" customHeight="1">
      <c r="A252" s="4">
        <v>248</v>
      </c>
      <c r="B252" s="4" t="s">
        <v>637</v>
      </c>
      <c r="C252" s="7" t="s">
        <v>638</v>
      </c>
      <c r="D252" s="7" t="s">
        <v>639</v>
      </c>
      <c r="E252" s="7" t="s">
        <v>623</v>
      </c>
      <c r="F252" s="6">
        <v>45000</v>
      </c>
      <c r="G252" s="4" t="s">
        <v>14</v>
      </c>
    </row>
    <row r="253" spans="1:7" ht="22.05" customHeight="1">
      <c r="A253" s="4">
        <v>249</v>
      </c>
      <c r="B253" s="4" t="s">
        <v>640</v>
      </c>
      <c r="C253" s="7" t="s">
        <v>641</v>
      </c>
      <c r="D253" s="7" t="s">
        <v>12</v>
      </c>
      <c r="E253" s="7" t="s">
        <v>623</v>
      </c>
      <c r="F253" s="6">
        <v>260000</v>
      </c>
      <c r="G253" s="4" t="s">
        <v>14</v>
      </c>
    </row>
    <row r="254" spans="1:7" ht="22.05" customHeight="1">
      <c r="A254" s="4">
        <v>250</v>
      </c>
      <c r="B254" s="4" t="s">
        <v>642</v>
      </c>
      <c r="C254" s="7" t="s">
        <v>643</v>
      </c>
      <c r="D254" s="7" t="s">
        <v>243</v>
      </c>
      <c r="E254" s="7" t="s">
        <v>623</v>
      </c>
      <c r="F254" s="6">
        <v>225000</v>
      </c>
      <c r="G254" s="4" t="s">
        <v>14</v>
      </c>
    </row>
  </sheetData>
  <mergeCells count="3">
    <mergeCell ref="A1:G1"/>
    <mergeCell ref="A2:G2"/>
    <mergeCell ref="A3:G3"/>
  </mergeCells>
  <dataValidations count="1">
    <dataValidation type="list" sqref="E5:E254" xr:uid="{00000000-0002-0000-0000-000000000000}">
      <formula1>_xlfn._LONGTEXT("Smartphones,Laptops,Tablets,Smart TVs,Monitors,Cameras,Gaming Consoles,Smartwatches,Headphones,Earbuds,Bluetooth Speakers,Wi-Fi Routers,Power Banks,Chargers,Keyboards,Computer Mice,Printers,UPS &amp; Inverters,Refrigerators,Air Conditioners,Washing Machines,M","icrowave Ovens,Vacuum Cleaners,Air Fryers,Projectors")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showGridLines="0" workbookViewId="0"/>
  </sheetViews>
  <sheetFormatPr defaultRowHeight="13.8"/>
  <cols>
    <col min="1" max="1" width="26" customWidth="1"/>
    <col min="2" max="2" width="12" customWidth="1"/>
    <col min="3" max="5" width="18" customWidth="1"/>
    <col min="6" max="6" width="3" customWidth="1"/>
    <col min="7" max="7" width="20" customWidth="1"/>
    <col min="8" max="8" width="19" customWidth="1"/>
  </cols>
  <sheetData>
    <row r="1" spans="1:8" ht="34.049999999999997" customHeight="1">
      <c r="A1" s="23" t="s">
        <v>644</v>
      </c>
      <c r="B1" s="23"/>
      <c r="C1" s="23"/>
      <c r="D1" s="23"/>
      <c r="E1" s="23"/>
      <c r="F1" s="23"/>
      <c r="G1" s="23"/>
      <c r="H1" s="23"/>
    </row>
    <row r="2" spans="1:8" ht="24" customHeight="1">
      <c r="A2" s="26" t="s">
        <v>645</v>
      </c>
      <c r="B2" s="26"/>
      <c r="C2" s="26"/>
      <c r="D2" s="26"/>
      <c r="E2" s="26"/>
      <c r="F2" s="26"/>
      <c r="G2" s="26"/>
      <c r="H2" s="26"/>
    </row>
    <row r="3" spans="1:8" ht="14.4">
      <c r="A3" s="5"/>
      <c r="B3" s="5"/>
      <c r="C3" s="5"/>
      <c r="D3" s="5"/>
      <c r="E3" s="5"/>
      <c r="F3" s="5"/>
      <c r="G3" s="5"/>
      <c r="H3" s="5"/>
    </row>
    <row r="4" spans="1:8" ht="25.95" customHeight="1">
      <c r="A4" s="8" t="s">
        <v>7</v>
      </c>
      <c r="B4" s="9" t="s">
        <v>646</v>
      </c>
      <c r="C4" s="9" t="s">
        <v>647</v>
      </c>
      <c r="D4" s="9" t="s">
        <v>648</v>
      </c>
      <c r="E4" s="9" t="s">
        <v>649</v>
      </c>
      <c r="F4" s="5"/>
      <c r="G4" s="10" t="s">
        <v>650</v>
      </c>
      <c r="H4" s="11" t="s">
        <v>651</v>
      </c>
    </row>
    <row r="5" spans="1:8" ht="14.4">
      <c r="A5" s="12" t="s">
        <v>13</v>
      </c>
      <c r="B5" s="13">
        <f>COUNTIF(Products!$E$5:$E$254,A5)</f>
        <v>10</v>
      </c>
      <c r="C5" s="14" t="e">
        <f ca="1">_xludf.MINIFS(Products!$F$5:$F$254,Products!$E$5:$E$254,A5)</f>
        <v>#NAME?</v>
      </c>
      <c r="D5" s="14">
        <f>AVERAGEIF(Products!$E$5:$E$254,A5,Products!$F$5:$F$254)</f>
        <v>217000</v>
      </c>
      <c r="E5" s="14" t="e">
        <f ca="1">_xludf.MAXIFS(Products!$F$5:$F$254,Products!$E$5:$E$254,A5)</f>
        <v>#NAME?</v>
      </c>
      <c r="F5" s="5"/>
      <c r="G5" s="15" t="s">
        <v>652</v>
      </c>
      <c r="H5" s="16">
        <f>COUNTA(Products!$A$5:$A$254)</f>
        <v>250</v>
      </c>
    </row>
    <row r="6" spans="1:8" ht="14.4">
      <c r="A6" s="12" t="s">
        <v>43</v>
      </c>
      <c r="B6" s="13">
        <f>COUNTIF(Products!$E$5:$E$254,A6)</f>
        <v>10</v>
      </c>
      <c r="C6" s="14" t="e">
        <f ca="1">_xludf.MINIFS(Products!$F$5:$F$254,Products!$E$5:$E$254,A6)</f>
        <v>#NAME?</v>
      </c>
      <c r="D6" s="14">
        <f>AVERAGEIF(Products!$E$5:$E$254,A6,Products!$F$5:$F$254)</f>
        <v>282000</v>
      </c>
      <c r="E6" s="14" t="e">
        <f ca="1">_xludf.MAXIFS(Products!$F$5:$F$254,Products!$E$5:$E$254,A6)</f>
        <v>#NAME?</v>
      </c>
      <c r="F6" s="5"/>
      <c r="G6" s="15" t="s">
        <v>653</v>
      </c>
      <c r="H6" s="16">
        <f>COUNTA(A5:A29)</f>
        <v>25</v>
      </c>
    </row>
    <row r="7" spans="1:8" ht="14.4">
      <c r="A7" s="12" t="s">
        <v>72</v>
      </c>
      <c r="B7" s="13">
        <f>COUNTIF(Products!$E$5:$E$254,A7)</f>
        <v>10</v>
      </c>
      <c r="C7" s="14" t="e">
        <f ca="1">_xludf.MINIFS(Products!$F$5:$F$254,Products!$E$5:$E$254,A7)</f>
        <v>#NAME?</v>
      </c>
      <c r="D7" s="14">
        <f>AVERAGEIF(Products!$E$5:$E$254,A7,Products!$F$5:$F$254)</f>
        <v>154000</v>
      </c>
      <c r="E7" s="14" t="e">
        <f ca="1">_xludf.MAXIFS(Products!$F$5:$F$254,Products!$E$5:$E$254,A7)</f>
        <v>#NAME?</v>
      </c>
      <c r="F7" s="5"/>
      <c r="G7" s="15" t="s">
        <v>648</v>
      </c>
      <c r="H7" s="17">
        <f>AVERAGE(Products!$F$5:$F$254)</f>
        <v>133688</v>
      </c>
    </row>
    <row r="8" spans="1:8" ht="14.4">
      <c r="A8" s="12" t="s">
        <v>95</v>
      </c>
      <c r="B8" s="13">
        <f>COUNTIF(Products!$E$5:$E$254,A8)</f>
        <v>10</v>
      </c>
      <c r="C8" s="14" t="e">
        <f ca="1">_xludf.MINIFS(Products!$F$5:$F$254,Products!$E$5:$E$254,A8)</f>
        <v>#NAME?</v>
      </c>
      <c r="D8" s="14">
        <f>AVERAGEIF(Products!$E$5:$E$254,A8,Products!$F$5:$F$254)</f>
        <v>188500</v>
      </c>
      <c r="E8" s="14" t="e">
        <f ca="1">_xludf.MAXIFS(Products!$F$5:$F$254,Products!$E$5:$E$254,A8)</f>
        <v>#NAME?</v>
      </c>
      <c r="F8" s="5"/>
      <c r="G8" s="15" t="s">
        <v>654</v>
      </c>
      <c r="H8" s="17">
        <f>MIN(Products!$F$5:$F$254)</f>
        <v>3000</v>
      </c>
    </row>
    <row r="9" spans="1:8" ht="14.4">
      <c r="A9" s="12" t="s">
        <v>124</v>
      </c>
      <c r="B9" s="13">
        <f>COUNTIF(Products!$E$5:$E$254,A9)</f>
        <v>10</v>
      </c>
      <c r="C9" s="14" t="e">
        <f ca="1">_xludf.MINIFS(Products!$F$5:$F$254,Products!$E$5:$E$254,A9)</f>
        <v>#NAME?</v>
      </c>
      <c r="D9" s="14">
        <f>AVERAGEIF(Products!$E$5:$E$254,A9,Products!$F$5:$F$254)</f>
        <v>108200</v>
      </c>
      <c r="E9" s="14" t="e">
        <f ca="1">_xludf.MAXIFS(Products!$F$5:$F$254,Products!$E$5:$E$254,A9)</f>
        <v>#NAME?</v>
      </c>
      <c r="F9" s="5"/>
      <c r="G9" s="18" t="s">
        <v>655</v>
      </c>
      <c r="H9" s="19">
        <f>MAX(Products!$F$5:$F$254)</f>
        <v>2400000</v>
      </c>
    </row>
    <row r="10" spans="1:8" ht="14.4">
      <c r="A10" s="12" t="s">
        <v>148</v>
      </c>
      <c r="B10" s="13">
        <f>COUNTIF(Products!$E$5:$E$254,A10)</f>
        <v>10</v>
      </c>
      <c r="C10" s="14" t="e">
        <f ca="1">_xludf.MINIFS(Products!$F$5:$F$254,Products!$E$5:$E$254,A10)</f>
        <v>#NAME?</v>
      </c>
      <c r="D10" s="14">
        <f>AVERAGEIF(Products!$E$5:$E$254,A10,Products!$F$5:$F$254)</f>
        <v>520500</v>
      </c>
      <c r="E10" s="14" t="e">
        <f ca="1">_xludf.MAXIFS(Products!$F$5:$F$254,Products!$E$5:$E$254,A10)</f>
        <v>#NAME?</v>
      </c>
      <c r="F10" s="5"/>
      <c r="G10" s="5"/>
      <c r="H10" s="5"/>
    </row>
    <row r="11" spans="1:8" ht="14.4">
      <c r="A11" s="12" t="s">
        <v>177</v>
      </c>
      <c r="B11" s="13">
        <f>COUNTIF(Products!$E$5:$E$254,A11)</f>
        <v>10</v>
      </c>
      <c r="C11" s="14" t="e">
        <f ca="1">_xludf.MINIFS(Products!$F$5:$F$254,Products!$E$5:$E$254,A11)</f>
        <v>#NAME?</v>
      </c>
      <c r="D11" s="14">
        <f>AVERAGEIF(Products!$E$5:$E$254,A11,Products!$F$5:$F$254)</f>
        <v>194000</v>
      </c>
      <c r="E11" s="14" t="e">
        <f ca="1">_xludf.MAXIFS(Products!$F$5:$F$254,Products!$E$5:$E$254,A11)</f>
        <v>#NAME?</v>
      </c>
      <c r="F11" s="5"/>
      <c r="G11" s="5"/>
      <c r="H11" s="5"/>
    </row>
    <row r="12" spans="1:8" ht="14.4">
      <c r="A12" s="12" t="s">
        <v>201</v>
      </c>
      <c r="B12" s="13">
        <f>COUNTIF(Products!$E$5:$E$254,A12)</f>
        <v>10</v>
      </c>
      <c r="C12" s="14" t="e">
        <f ca="1">_xludf.MINIFS(Products!$F$5:$F$254,Products!$E$5:$E$254,A12)</f>
        <v>#NAME?</v>
      </c>
      <c r="D12" s="14">
        <f>AVERAGEIF(Products!$E$5:$E$254,A12,Products!$F$5:$F$254)</f>
        <v>119000</v>
      </c>
      <c r="E12" s="14" t="e">
        <f ca="1">_xludf.MAXIFS(Products!$F$5:$F$254,Products!$E$5:$E$254,A12)</f>
        <v>#NAME?</v>
      </c>
      <c r="F12" s="5"/>
      <c r="G12" s="5"/>
      <c r="H12" s="5"/>
    </row>
    <row r="13" spans="1:8" ht="14.4">
      <c r="A13" s="12" t="s">
        <v>226</v>
      </c>
      <c r="B13" s="13">
        <f>COUNTIF(Products!$E$5:$E$254,A13)</f>
        <v>10</v>
      </c>
      <c r="C13" s="14" t="e">
        <f ca="1">_xludf.MINIFS(Products!$F$5:$F$254,Products!$E$5:$E$254,A13)</f>
        <v>#NAME?</v>
      </c>
      <c r="D13" s="14">
        <f>AVERAGEIF(Products!$E$5:$E$254,A13,Products!$F$5:$F$254)</f>
        <v>92500</v>
      </c>
      <c r="E13" s="14" t="e">
        <f ca="1">_xludf.MAXIFS(Products!$F$5:$F$254,Products!$E$5:$E$254,A13)</f>
        <v>#NAME?</v>
      </c>
      <c r="F13" s="5"/>
      <c r="G13" s="5"/>
      <c r="H13" s="5"/>
    </row>
    <row r="14" spans="1:8" ht="14.4">
      <c r="A14" s="12" t="s">
        <v>255</v>
      </c>
      <c r="B14" s="13">
        <f>COUNTIF(Products!$E$5:$E$254,A14)</f>
        <v>10</v>
      </c>
      <c r="C14" s="14" t="e">
        <f ca="1">_xludf.MINIFS(Products!$F$5:$F$254,Products!$E$5:$E$254,A14)</f>
        <v>#NAME?</v>
      </c>
      <c r="D14" s="14">
        <f>AVERAGEIF(Products!$E$5:$E$254,A14,Products!$F$5:$F$254)</f>
        <v>50600</v>
      </c>
      <c r="E14" s="14" t="e">
        <f ca="1">_xludf.MAXIFS(Products!$F$5:$F$254,Products!$E$5:$E$254,A14)</f>
        <v>#NAME?</v>
      </c>
      <c r="F14" s="5"/>
      <c r="G14" s="5"/>
      <c r="H14" s="5"/>
    </row>
    <row r="15" spans="1:8" ht="14.4">
      <c r="A15" s="12" t="s">
        <v>278</v>
      </c>
      <c r="B15" s="13">
        <f>COUNTIF(Products!$E$5:$E$254,A15)</f>
        <v>10</v>
      </c>
      <c r="C15" s="14" t="e">
        <f ca="1">_xludf.MINIFS(Products!$F$5:$F$254,Products!$E$5:$E$254,A15)</f>
        <v>#NAME?</v>
      </c>
      <c r="D15" s="14">
        <f>AVERAGEIF(Products!$E$5:$E$254,A15,Products!$F$5:$F$254)</f>
        <v>68400</v>
      </c>
      <c r="E15" s="14" t="e">
        <f ca="1">_xludf.MAXIFS(Products!$F$5:$F$254,Products!$E$5:$E$254,A15)</f>
        <v>#NAME?</v>
      </c>
      <c r="F15" s="5"/>
      <c r="G15" s="5"/>
      <c r="H15" s="5"/>
    </row>
    <row r="16" spans="1:8" ht="14.4">
      <c r="A16" s="12" t="s">
        <v>304</v>
      </c>
      <c r="B16" s="13">
        <f>COUNTIF(Products!$E$5:$E$254,A16)</f>
        <v>10</v>
      </c>
      <c r="C16" s="14" t="e">
        <f ca="1">_xludf.MINIFS(Products!$F$5:$F$254,Products!$E$5:$E$254,A16)</f>
        <v>#NAME?</v>
      </c>
      <c r="D16" s="14">
        <f>AVERAGEIF(Products!$E$5:$E$254,A16,Products!$F$5:$F$254)</f>
        <v>39100</v>
      </c>
      <c r="E16" s="14" t="e">
        <f ca="1">_xludf.MAXIFS(Products!$F$5:$F$254,Products!$E$5:$E$254,A16)</f>
        <v>#NAME?</v>
      </c>
      <c r="F16" s="5"/>
      <c r="G16" s="5"/>
      <c r="H16" s="5"/>
    </row>
    <row r="17" spans="1:8" ht="14.4">
      <c r="A17" s="12" t="s">
        <v>330</v>
      </c>
      <c r="B17" s="13">
        <f>COUNTIF(Products!$E$5:$E$254,A17)</f>
        <v>10</v>
      </c>
      <c r="C17" s="14" t="e">
        <f ca="1">_xludf.MINIFS(Products!$F$5:$F$254,Products!$E$5:$E$254,A17)</f>
        <v>#NAME?</v>
      </c>
      <c r="D17" s="14">
        <f>AVERAGEIF(Products!$E$5:$E$254,A17,Products!$F$5:$F$254)</f>
        <v>20300</v>
      </c>
      <c r="E17" s="14" t="e">
        <f ca="1">_xludf.MAXIFS(Products!$F$5:$F$254,Products!$E$5:$E$254,A17)</f>
        <v>#NAME?</v>
      </c>
      <c r="F17" s="5"/>
      <c r="G17" s="5"/>
      <c r="H17" s="5"/>
    </row>
    <row r="18" spans="1:8" ht="14.4">
      <c r="A18" s="12" t="s">
        <v>355</v>
      </c>
      <c r="B18" s="13">
        <f>COUNTIF(Products!$E$5:$E$254,A18)</f>
        <v>10</v>
      </c>
      <c r="C18" s="14" t="e">
        <f ca="1">_xludf.MINIFS(Products!$F$5:$F$254,Products!$E$5:$E$254,A18)</f>
        <v>#NAME?</v>
      </c>
      <c r="D18" s="14">
        <f>AVERAGEIF(Products!$E$5:$E$254,A18,Products!$F$5:$F$254)</f>
        <v>14000</v>
      </c>
      <c r="E18" s="14" t="e">
        <f ca="1">_xludf.MAXIFS(Products!$F$5:$F$254,Products!$E$5:$E$254,A18)</f>
        <v>#NAME?</v>
      </c>
      <c r="F18" s="5"/>
      <c r="G18" s="5"/>
      <c r="H18" s="5"/>
    </row>
    <row r="19" spans="1:8" ht="14.4">
      <c r="A19" s="12" t="s">
        <v>376</v>
      </c>
      <c r="B19" s="13">
        <f>COUNTIF(Products!$E$5:$E$254,A19)</f>
        <v>10</v>
      </c>
      <c r="C19" s="14" t="e">
        <f ca="1">_xludf.MINIFS(Products!$F$5:$F$254,Products!$E$5:$E$254,A19)</f>
        <v>#NAME?</v>
      </c>
      <c r="D19" s="14">
        <f>AVERAGEIF(Products!$E$5:$E$254,A19,Products!$F$5:$F$254)</f>
        <v>33400</v>
      </c>
      <c r="E19" s="14" t="e">
        <f ca="1">_xludf.MAXIFS(Products!$F$5:$F$254,Products!$E$5:$E$254,A19)</f>
        <v>#NAME?</v>
      </c>
      <c r="F19" s="5"/>
      <c r="G19" s="5"/>
      <c r="H19" s="5"/>
    </row>
    <row r="20" spans="1:8" ht="14.4">
      <c r="A20" s="12" t="s">
        <v>402</v>
      </c>
      <c r="B20" s="13">
        <f>COUNTIF(Products!$E$5:$E$254,A20)</f>
        <v>10</v>
      </c>
      <c r="C20" s="14" t="e">
        <f ca="1">_xludf.MINIFS(Products!$F$5:$F$254,Products!$E$5:$E$254,A20)</f>
        <v>#NAME?</v>
      </c>
      <c r="D20" s="14">
        <f>AVERAGEIF(Products!$E$5:$E$254,A20,Products!$F$5:$F$254)</f>
        <v>19500</v>
      </c>
      <c r="E20" s="14" t="e">
        <f ca="1">_xludf.MAXIFS(Products!$F$5:$F$254,Products!$E$5:$E$254,A20)</f>
        <v>#NAME?</v>
      </c>
      <c r="F20" s="5"/>
      <c r="G20" s="5"/>
      <c r="H20" s="5"/>
    </row>
    <row r="21" spans="1:8" ht="14.4">
      <c r="A21" s="12" t="s">
        <v>424</v>
      </c>
      <c r="B21" s="13">
        <f>COUNTIF(Products!$E$5:$E$254,A21)</f>
        <v>10</v>
      </c>
      <c r="C21" s="14" t="e">
        <f ca="1">_xludf.MINIFS(Products!$F$5:$F$254,Products!$E$5:$E$254,A21)</f>
        <v>#NAME?</v>
      </c>
      <c r="D21" s="14">
        <f>AVERAGEIF(Products!$E$5:$E$254,A21,Products!$F$5:$F$254)</f>
        <v>80000</v>
      </c>
      <c r="E21" s="14" t="e">
        <f ca="1">_xludf.MAXIFS(Products!$F$5:$F$254,Products!$E$5:$E$254,A21)</f>
        <v>#NAME?</v>
      </c>
      <c r="F21" s="5"/>
      <c r="G21" s="5"/>
      <c r="H21" s="5"/>
    </row>
    <row r="22" spans="1:8" ht="14.4">
      <c r="A22" s="12" t="s">
        <v>450</v>
      </c>
      <c r="B22" s="13">
        <f>COUNTIF(Products!$E$5:$E$254,A22)</f>
        <v>10</v>
      </c>
      <c r="C22" s="14" t="e">
        <f ca="1">_xludf.MINIFS(Products!$F$5:$F$254,Products!$E$5:$E$254,A22)</f>
        <v>#NAME?</v>
      </c>
      <c r="D22" s="14">
        <f>AVERAGEIF(Products!$E$5:$E$254,A22,Products!$F$5:$F$254)</f>
        <v>143000</v>
      </c>
      <c r="E22" s="14" t="e">
        <f ca="1">_xludf.MAXIFS(Products!$F$5:$F$254,Products!$E$5:$E$254,A22)</f>
        <v>#NAME?</v>
      </c>
      <c r="F22" s="5"/>
      <c r="G22" s="5"/>
      <c r="H22" s="5"/>
    </row>
    <row r="23" spans="1:8" ht="14.4">
      <c r="A23" s="12" t="s">
        <v>479</v>
      </c>
      <c r="B23" s="13">
        <f>COUNTIF(Products!$E$5:$E$254,A23)</f>
        <v>10</v>
      </c>
      <c r="C23" s="14" t="e">
        <f ca="1">_xludf.MINIFS(Products!$F$5:$F$254,Products!$E$5:$E$254,A23)</f>
        <v>#NAME?</v>
      </c>
      <c r="D23" s="14">
        <f>AVERAGEIF(Products!$E$5:$E$254,A23,Products!$F$5:$F$254)</f>
        <v>260500</v>
      </c>
      <c r="E23" s="14" t="e">
        <f ca="1">_xludf.MAXIFS(Products!$F$5:$F$254,Products!$E$5:$E$254,A23)</f>
        <v>#NAME?</v>
      </c>
      <c r="F23" s="5"/>
      <c r="G23" s="5"/>
      <c r="H23" s="5"/>
    </row>
    <row r="24" spans="1:8" ht="14.4">
      <c r="A24" s="12" t="s">
        <v>505</v>
      </c>
      <c r="B24" s="13">
        <f>COUNTIF(Products!$E$5:$E$254,A24)</f>
        <v>10</v>
      </c>
      <c r="C24" s="14" t="e">
        <f ca="1">_xludf.MINIFS(Products!$F$5:$F$254,Products!$E$5:$E$254,A24)</f>
        <v>#NAME?</v>
      </c>
      <c r="D24" s="14">
        <f>AVERAGEIF(Products!$E$5:$E$254,A24,Products!$F$5:$F$254)</f>
        <v>209000</v>
      </c>
      <c r="E24" s="14" t="e">
        <f ca="1">_xludf.MAXIFS(Products!$F$5:$F$254,Products!$E$5:$E$254,A24)</f>
        <v>#NAME?</v>
      </c>
      <c r="F24" s="5"/>
      <c r="G24" s="5"/>
      <c r="H24" s="5"/>
    </row>
    <row r="25" spans="1:8" ht="14.4">
      <c r="A25" s="12" t="s">
        <v>527</v>
      </c>
      <c r="B25" s="13">
        <f>COUNTIF(Products!$E$5:$E$254,A25)</f>
        <v>10</v>
      </c>
      <c r="C25" s="14" t="e">
        <f ca="1">_xludf.MINIFS(Products!$F$5:$F$254,Products!$E$5:$E$254,A25)</f>
        <v>#NAME?</v>
      </c>
      <c r="D25" s="14">
        <f>AVERAGEIF(Products!$E$5:$E$254,A25,Products!$F$5:$F$254)</f>
        <v>158800</v>
      </c>
      <c r="E25" s="14" t="e">
        <f ca="1">_xludf.MAXIFS(Products!$F$5:$F$254,Products!$E$5:$E$254,A25)</f>
        <v>#NAME?</v>
      </c>
      <c r="F25" s="5"/>
      <c r="G25" s="5"/>
      <c r="H25" s="5"/>
    </row>
    <row r="26" spans="1:8" ht="14.4">
      <c r="A26" s="12" t="s">
        <v>550</v>
      </c>
      <c r="B26" s="13">
        <f>COUNTIF(Products!$E$5:$E$254,A26)</f>
        <v>10</v>
      </c>
      <c r="C26" s="14" t="e">
        <f ca="1">_xludf.MINIFS(Products!$F$5:$F$254,Products!$E$5:$E$254,A26)</f>
        <v>#NAME?</v>
      </c>
      <c r="D26" s="14">
        <f>AVERAGEIF(Products!$E$5:$E$254,A26,Products!$F$5:$F$254)</f>
        <v>47300</v>
      </c>
      <c r="E26" s="14" t="e">
        <f ca="1">_xludf.MAXIFS(Products!$F$5:$F$254,Products!$E$5:$E$254,A26)</f>
        <v>#NAME?</v>
      </c>
      <c r="F26" s="5"/>
      <c r="G26" s="5"/>
      <c r="H26" s="5"/>
    </row>
    <row r="27" spans="1:8" ht="14.4">
      <c r="A27" s="12" t="s">
        <v>572</v>
      </c>
      <c r="B27" s="13">
        <f>COUNTIF(Products!$E$5:$E$254,A27)</f>
        <v>10</v>
      </c>
      <c r="C27" s="14" t="e">
        <f ca="1">_xludf.MINIFS(Products!$F$5:$F$254,Products!$E$5:$E$254,A27)</f>
        <v>#NAME?</v>
      </c>
      <c r="D27" s="14">
        <f>AVERAGEIF(Products!$E$5:$E$254,A27,Products!$F$5:$F$254)</f>
        <v>73700</v>
      </c>
      <c r="E27" s="14" t="e">
        <f ca="1">_xludf.MAXIFS(Products!$F$5:$F$254,Products!$E$5:$E$254,A27)</f>
        <v>#NAME?</v>
      </c>
      <c r="F27" s="5"/>
      <c r="G27" s="5"/>
      <c r="H27" s="5"/>
    </row>
    <row r="28" spans="1:8" ht="14.4">
      <c r="A28" s="12" t="s">
        <v>597</v>
      </c>
      <c r="B28" s="13">
        <f>COUNTIF(Products!$E$5:$E$254,A28)</f>
        <v>10</v>
      </c>
      <c r="C28" s="14" t="e">
        <f ca="1">_xludf.MINIFS(Products!$F$5:$F$254,Products!$E$5:$E$254,A28)</f>
        <v>#NAME?</v>
      </c>
      <c r="D28" s="14">
        <f>AVERAGEIF(Products!$E$5:$E$254,A28,Products!$F$5:$F$254)</f>
        <v>37900</v>
      </c>
      <c r="E28" s="14" t="e">
        <f ca="1">_xludf.MAXIFS(Products!$F$5:$F$254,Products!$E$5:$E$254,A28)</f>
        <v>#NAME?</v>
      </c>
      <c r="F28" s="5"/>
      <c r="G28" s="5"/>
      <c r="H28" s="5"/>
    </row>
    <row r="29" spans="1:8" ht="14.4">
      <c r="A29" s="20" t="s">
        <v>623</v>
      </c>
      <c r="B29" s="21">
        <f>COUNTIF(Products!$E$5:$E$254,A29)</f>
        <v>10</v>
      </c>
      <c r="C29" s="22" t="e">
        <f ca="1">_xludf.MINIFS(Products!$F$5:$F$254,Products!$E$5:$E$254,A29)</f>
        <v>#NAME?</v>
      </c>
      <c r="D29" s="22">
        <f>AVERAGEIF(Products!$E$5:$E$254,A29,Products!$F$5:$F$254)</f>
        <v>211000</v>
      </c>
      <c r="E29" s="22" t="e">
        <f ca="1">_xludf.MAXIFS(Products!$F$5:$F$254,Products!$E$5:$E$254,A29)</f>
        <v>#NAME?</v>
      </c>
      <c r="F29" s="5"/>
      <c r="G29" s="5"/>
      <c r="H29" s="5"/>
    </row>
  </sheetData>
  <mergeCells count="2">
    <mergeCell ref="A1:H1"/>
    <mergeCell ref="A2:H2"/>
  </mergeCells>
  <conditionalFormatting sqref="D5:D29">
    <cfRule type="colorScale" priority="1">
      <colorScale>
        <cfvo type="min"/>
        <cfvo type="percentile" val="50"/>
        <cfvo type="max"/>
        <color rgb="FFE8F4F6"/>
        <color rgb="FF85C7D3"/>
        <color rgb="FF147D92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AbdulSamad</dc:creator>
  <cp:lastModifiedBy>AbdulSamad</cp:lastModifiedBy>
  <dcterms:created xsi:type="dcterms:W3CDTF">2026-08-22T12:11:29Z</dcterms:created>
  <dcterms:modified xsi:type="dcterms:W3CDTF">2026-08-22T12:11:29Z</dcterms:modified>
</cp:coreProperties>
</file>